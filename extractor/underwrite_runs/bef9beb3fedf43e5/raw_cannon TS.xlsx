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lu\Downloads\"/>
    </mc:Choice>
  </mc:AlternateContent>
  <xr:revisionPtr revIDLastSave="0" documentId="13_ncr:11_{CDD57455-B1A5-41F5-9CD8-14C797040B2A}" xr6:coauthVersionLast="47" xr6:coauthVersionMax="47" xr10:uidLastSave="{00000000-0000-0000-0000-000000000000}"/>
  <bookViews>
    <workbookView xWindow="21585" yWindow="-16440" windowWidth="29040" windowHeight="15720" firstSheet="1" activeTab="1" xr2:uid="{00000000-000D-0000-FFFF-FFFF00000000}"/>
  </bookViews>
  <sheets>
    <sheet name="Summary Sheet" sheetId="4" state="hidden" r:id="rId1"/>
    <sheet name="Cannon Ind." sheetId="11" r:id="rId2"/>
    <sheet name="TI Build Guide" sheetId="15" state="hidden" r:id="rId3"/>
    <sheet name="_AX_backup" sheetId="16" state="hidden" r:id="rId4"/>
    <sheet name="_scenario_backup" sheetId="17" state="hidden" r:id="rId5"/>
  </sheets>
  <definedNames>
    <definedName name="______ah2" hidden="1">{"Cover",#N/A,FALSE,"Cover";"Summary",#N/A,FALSE,"Summarpage"}</definedName>
    <definedName name="_____ah2" hidden="1">{"Cover",#N/A,FALSE,"Cover";"Summary",#N/A,FALSE,"Summarpage"}</definedName>
    <definedName name="____ah2" hidden="1">{"Cover",#N/A,FALSE,"Cover";"Summary",#N/A,FALSE,"Summarpage"}</definedName>
    <definedName name="___ah2" hidden="1">{"Cover",#N/A,FALSE,"Cover";"Summary",#N/A,FALSE,"Summarpage"}</definedName>
    <definedName name="___thinkcellsETHAPSnsU6JcaM72TpWxQ" hidden="1">#REF!</definedName>
    <definedName name="__123Graph_A" hidden="1">#REF!</definedName>
    <definedName name="__123Graph_ARELACUIN" hidden="1">#REF!</definedName>
    <definedName name="__123Graph_ARELTACUM.PIC" hidden="1">#REF!</definedName>
    <definedName name="__123Graph_B" hidden="1">#REF!</definedName>
    <definedName name="__123Graph_BRELACUIN" hidden="1">#REF!</definedName>
    <definedName name="__123Graph_BRELTACUM.PIC" hidden="1">#REF!</definedName>
    <definedName name="__123Graph_C" hidden="1">#REF!</definedName>
    <definedName name="__123Graph_CRELACUIN" hidden="1">#REF!</definedName>
    <definedName name="__123Graph_CRELTACUM.PIC" hidden="1">#REF!</definedName>
    <definedName name="__123Graph_D" hidden="1">#REF!</definedName>
    <definedName name="__123Graph_DRELACUIN" hidden="1">#REF!</definedName>
    <definedName name="__123Graph_DRELTACUM.PIC" hidden="1">#REF!</definedName>
    <definedName name="__123Graph_X" hidden="1">#REF!</definedName>
    <definedName name="__123Graph_XRELACUIN" hidden="1">#REF!</definedName>
    <definedName name="__123Graph_XRELTACUM.PIC" hidden="1">#REF!</definedName>
    <definedName name="__IntlFixup" hidden="1">TRUE()</definedName>
    <definedName name="_1_0_0_K" hidden="1">#REF!</definedName>
    <definedName name="_10SCHD_0017">#REF!</definedName>
    <definedName name="_1202T1">#N/A</definedName>
    <definedName name="_12SCHD_0023B">#REF!</definedName>
    <definedName name="_13SCHD_0024A">#REF!</definedName>
    <definedName name="_14SCHD_0024AI">#REF!</definedName>
    <definedName name="_15SCHD_0024AII">#REF!</definedName>
    <definedName name="_16SCHD_0024AIII">#REF!</definedName>
    <definedName name="_17SCHD_0024AIV">#REF!</definedName>
    <definedName name="_18SCHD_0024B">#REF!</definedName>
    <definedName name="_19SCHD_0024BI">#REF!</definedName>
    <definedName name="_1SCHD_0002">#REF!</definedName>
    <definedName name="_2_0_0_S" hidden="1">#REF!</definedName>
    <definedName name="_20SCHD_0024BII">#REF!</definedName>
    <definedName name="_21SCHD_0024BIII">#REF!</definedName>
    <definedName name="_22SCHD_0024BIV">#REF!</definedName>
    <definedName name="_23SCHD_0024C">#REF!</definedName>
    <definedName name="_24SCHD_0024CI">#REF!</definedName>
    <definedName name="_25SCHD_0024CII">#REF!</definedName>
    <definedName name="_26SCHD_0024CIII">#REF!</definedName>
    <definedName name="_27SCHD_0024CIV">#REF!</definedName>
    <definedName name="_28SCHD_0024E">#REF!</definedName>
    <definedName name="_29SCHD_0024F">#REF!</definedName>
    <definedName name="_2SCHD_0003">#REF!</definedName>
    <definedName name="_3_3_3" hidden="1">#REF!</definedName>
    <definedName name="_30SCHD_0028A">#REF!</definedName>
    <definedName name="_31_12_2010">#REF!</definedName>
    <definedName name="_31SCHD_0029">#REF!</definedName>
    <definedName name="_32SCHD_0035">#REF!</definedName>
    <definedName name="_33SCHD_0036">#REF!</definedName>
    <definedName name="_34SCHD_0036A">#REF!</definedName>
    <definedName name="_35SCHD_0037">#REF!</definedName>
    <definedName name="_36SCHD_0038">#REF!</definedName>
    <definedName name="_37SCHD_0039">#REF!</definedName>
    <definedName name="_38SCHD_0039A">#REF!</definedName>
    <definedName name="_39SCHD_0040">#REF!</definedName>
    <definedName name="_3SCHD_0005">#REF!</definedName>
    <definedName name="_40SCHD_0041">#REF!</definedName>
    <definedName name="_41SCHD_0042">#REF!</definedName>
    <definedName name="_42SCHD_0043">#REF!</definedName>
    <definedName name="_43SCHD_INTERCO">#REF!</definedName>
    <definedName name="_4SCHD_0006">#REF!</definedName>
    <definedName name="_5SCHD_0012">#REF!</definedName>
    <definedName name="_6SCHD_0013">#REF!</definedName>
    <definedName name="_7SCHD_0014">#REF!</definedName>
    <definedName name="_8SCHD_0015">#REF!</definedName>
    <definedName name="_9SCHD_0016">#REF!</definedName>
    <definedName name="_ah2" hidden="1">{"Cover",#N/A,FALSE,"Cover";"Summary",#N/A,FALSE,"Summarpage"}</definedName>
    <definedName name="_AtRisk_SimSetting_AutomaticallyGenerateReports" hidden="1">FALSE()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TRUE()</definedName>
    <definedName name="_AtRisk_SimSetting_SimNameCount" hidden="1">0</definedName>
    <definedName name="_AtRisk_SimSetting_SmartSensitivityAnalysisEnabled" hidden="1">TRUE()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ig_Var_Version" hidden="1">"1"</definedName>
    <definedName name="_Fill" hidden="1">#REF!</definedName>
    <definedName name="_GSRATES_1" hidden="1">"CT300001Latest          "</definedName>
    <definedName name="_GSRATES_2" hidden="1">"CT30000120040521        "</definedName>
    <definedName name="_GSRATES_COUNT" hidden="1">2</definedName>
    <definedName name="_GSRATESR_1" hidden="1">#REF!</definedName>
    <definedName name="_GSRATESR_2" hidden="1">#REF!</definedName>
    <definedName name="_j3" hidden="1">{"schedule1",#N/A,FALSE,"Sheet1";"schedule2",#N/A,FALSE,"Sheet1";"schedule3",#N/A,FALSE,"Sheet1";"schedule4",#N/A,FALSE,"Sheet1";"schedule5",#N/A,FALSE,"Sheet1";"schedule6",#N/A,FALSE,"Sheet1"}</definedName>
    <definedName name="_Key1" hidden="1">#REF!</definedName>
    <definedName name="_Key2" hidden="1">#REF!</definedName>
    <definedName name="_Kpi1">#REF!</definedName>
    <definedName name="_Kpi2">#REF!</definedName>
    <definedName name="_kpi3">#REF!</definedName>
    <definedName name="_kpi4">#REF!</definedName>
    <definedName name="_Order1" hidden="1">255</definedName>
    <definedName name="_Order2" hidden="1">255</definedName>
    <definedName name="_P3" hidden="1">{"schedule1",#N/A,FALSE,"Sheet1";"schedule2",#N/A,FALSE,"Sheet1";"schedule3",#N/A,FALSE,"Sheet1";"schedule4",#N/A,FALSE,"Sheet1";"schedule5",#N/A,FALSE,"Sheet1";"schedule6",#N/A,FALSE,"Sheet1"}</definedName>
    <definedName name="_Parse_In" hidden="1">#REF!</definedName>
    <definedName name="_Parse_Out" hidden="1">#REF!</definedName>
    <definedName name="_Regression_Int" hidden="1">1</definedName>
    <definedName name="_Report">"model"</definedName>
    <definedName name="_s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S_Base">{0.1;0;0.382758620689655;0;0;0;0.258620689655172;0;0.258620689655172}</definedName>
    <definedName name="_S_new_case">{0.1;0;0.45;0;0;0;0;0;0.45}</definedName>
    <definedName name="_scenchg_count" hidden="1">7</definedName>
    <definedName name="_scenchg1" hidden="1">#REF!</definedName>
    <definedName name="_scenchg2" hidden="1">#REF!</definedName>
    <definedName name="_scenchg3" hidden="1">#REF!</definedName>
    <definedName name="_scenchg4" hidden="1">#REF!</definedName>
    <definedName name="_scenchg5" hidden="1">#REF!</definedName>
    <definedName name="_scenchg6" hidden="1">#REF!</definedName>
    <definedName name="_scenchg7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xlcn.WorksheetConnection_2PropertyreportB11W341" hidden="1">#REF!</definedName>
    <definedName name="_xlcn.WorksheetConnection_2PropertyreportB16Z321" hidden="1">#REF!</definedName>
    <definedName name="_xlcn.WorksheetConnection_2PropertyreportJ15K331" hidden="1">#REF!</definedName>
    <definedName name="_Zbaladj">{0;0;0;0;1;1;0;0;0;0;2;FALSE;FALSE;FALSE;FALSE;FALSE;#N/A;1;#N/A;1;1;"";""}</definedName>
    <definedName name="_ZEV">{0;0;0;0;1;#N/A;0.75;0.75;1;1;1;FALSE;FALSE;FALSE;FALSE;FALSE;#N/A;1;100;#N/A;#N/A;"&amp;A";"Page &amp;P"}</definedName>
    <definedName name="_Zmodel">{0;0;0;0;1;1;0.25;0.25;0.75;0.25;2;FALSE;FALSE;FALSE;FALSE;FALSE;#N/A;1;75;#N/A;#N/A;"";""}</definedName>
    <definedName name="_Zsummary">{0;0;0;0;1;1;0.85;0.87;0.5;0.5;1;FALSE;FALSE;FALSE;FALSE;FALSE;#N/A;1;100;#N/A;#N/A;"";""}</definedName>
    <definedName name="_Zwhole_model">{0;0;0;0;1;1;0.25;0;0.75;0.5;2;FALSE;FALSE;FALSE;FALSE;FALSE;#N/A;1;77;#N/A;#N/A;"";""}</definedName>
    <definedName name="_Zwholemodel">{0;0;0;0;1;1;0.25;0;0.75;0.5;2;FALSE;FALSE;FALSE;FALSE;FALSE;#N/A;1;77;#N/A;#N/A;"";""}</definedName>
    <definedName name="a">#N/A</definedName>
    <definedName name="aa">#N/A</definedName>
    <definedName name="aa.2" hidden="1">{#N/A,#N/A,FALSE,"Cashflow Analysis";#N/A,#N/A,FALSE,"Sensitivity Analysis";#N/A,#N/A,FALSE,"PV";#N/A,#N/A,FALSE,"Pro Forma"}</definedName>
    <definedName name="aaa" hidden="1">{"Binder",#N/A,FALSE,"VARIANCES";"Binder",#N/A,FALSE,"DEPR";"Binder",#N/A,FALSE,"BAD DEBTS";"Binder",#N/A,FALSE,"ARrec";"Binder",#N/A,FALSE,"RECOVER";"Binder",#N/A,FALSE,"CAM DEPR";"Binder",#N/A,FALSE,"%RENT";"Binder",#N/A,FALSE,"NEWFASB";"Binder",#N/A,FALSE,"UNOREC CALC";"Binder",#N/A,FALSE,"MIE CALC";"Binder",#N/A,FALSE,"AMORT";"Binder",#N/A,FALSE,"6%LSE TEST";"Binder",#N/A,FALSE,"TI DETAIL";"Binder",#N/A,FALSE,"OTHER ASSETS";"Binder",#N/A,FALSE,"INTERCO";"Binder",#N/A,FALSE,"MGMT FEE";"Binder",#N/A,FALSE,"CIP INTEREST";"Binder",#N/A,FALSE,"CIP";"Binder",#N/A,FALSE,"RE TAXES";"Binder",#N/A,FALSE,"PAYROLL";"Binder",#N/A,FALSE,"OTHER LIAB";"Binder",#N/A,FALSE,"EQUITY"}</definedName>
    <definedName name="aaa_1" hidden="1">{#N/A,#N/A,FALSE,"Model";#N/A,#N/A,FALSE,"Division"}</definedName>
    <definedName name="AAA_DOCTOPS" hidden="1">"AAA_SET"</definedName>
    <definedName name="AAA_duser" hidden="1">"OFF"</definedName>
    <definedName name="AAAAAAAAAAAAAAAAAAAAAA" hidden="1">{#N/A,#N/A,TRUE,"BS";#N/A,#N/A,TRUE,"P&amp;L";#N/A,#N/A,TRUE,"An-P&amp;L";#N/A,#N/A,TRUE,"Expenses";#N/A,#N/A,TRUE,"An-Expenses";#N/A,#N/A,TRUE,"PROJECT";#N/A,#N/A,TRUE,"F.A.E";#N/A,#N/A,TRUE,"PCA";#N/A,#N/A,TRUE,"FNP ";#N/A,#N/A,TRUE,"CCA ";#N/A,#N/A,TRUE,"RECEI";#N/A,#N/A,TRUE,"CHQ REC";#N/A,#N/A,TRUE,"LIV TIERS";#N/A,#N/A,TRUE,"BANQ"}</definedName>
    <definedName name="AAB_Addin5" hidden="1">"AAB_Description for addin 5,Description for addin 5,Description for addin 5,Description for addin 5,Description for addin 5,Description for addin 5"</definedName>
    <definedName name="abc">#REF!</definedName>
    <definedName name="abcd">#N/A</definedName>
    <definedName name="Abonnementer">"Abonnementer"</definedName>
    <definedName name="ac" hidden="1">{"tableau a",#N/A,FALSE,"Feuil3";"tableau b",#N/A,FALSE,"Feuil3"}</definedName>
    <definedName name="Access_Button" hidden="1">"Loan_Front_End_Input_List"</definedName>
    <definedName name="AccessDatabase" hidden="1">"C:\My Documents\DAVE\MODELS\Cash at Risk\Loan Front End.mdb"</definedName>
    <definedName name="account" hidden="1">{"Binder",#N/A,FALSE,"VARIANCES";"Binder",#N/A,FALSE,"DEPR";"Binder",#N/A,FALSE,"BAD DEBTS";"Binder",#N/A,FALSE,"ARrec";"Binder",#N/A,FALSE,"RECOVER";"Binder",#N/A,FALSE,"CAM DEPR";"Binder",#N/A,FALSE,"%RENT";"Binder",#N/A,FALSE,"NEWFASB";"Binder",#N/A,FALSE,"UNOREC CALC";"Binder",#N/A,FALSE,"MIE CALC";"Binder",#N/A,FALSE,"AMORT";"Binder",#N/A,FALSE,"6%LSE TEST";"Binder",#N/A,FALSE,"TI DETAIL";"Binder",#N/A,FALSE,"OTHER ASSETS";"Binder",#N/A,FALSE,"INTERCO";"Binder",#N/A,FALSE,"MGMT FEE";"Binder",#N/A,FALSE,"CIP INTEREST";"Binder",#N/A,FALSE,"CIP";"Binder",#N/A,FALSE,"RE TAXES";"Binder",#N/A,FALSE,"PAYROLL";"Binder",#N/A,FALSE,"OTHER LIAB";"Binder",#N/A,FALSE,"EQUITY"}</definedName>
    <definedName name="accruals" hidden="1">{#N/A,#N/A,TRUE,"BS";#N/A,#N/A,TRUE,"P&amp;L";#N/A,#N/A,TRUE,"An-P&amp;L";#N/A,#N/A,TRUE,"Expenses";#N/A,#N/A,TRUE,"An-Expenses";#N/A,#N/A,TRUE,"PROJECT";#N/A,#N/A,TRUE,"F.A.E";#N/A,#N/A,TRUE,"PCA";#N/A,#N/A,TRUE,"FNP ";#N/A,#N/A,TRUE,"CCA ";#N/A,#N/A,TRUE,"RECEI";#N/A,#N/A,TRUE,"CHQ REC";#N/A,#N/A,TRUE,"LIV TIERS";#N/A,#N/A,TRUE,"BANQ"}</definedName>
    <definedName name="act" hidden="1">{"tableau a",#N/A,FALSE,"Feuil3";"tableau b",#N/A,FALSE,"Feuil3"}</definedName>
    <definedName name="ActiveTenatRow">20</definedName>
    <definedName name="actu" hidden="1">{"tableau a",#N/A,FALSE,"Feuil3";"tableau b",#N/A,FALSE,"Feuil3"}</definedName>
    <definedName name="actua" hidden="1">{"tableau a",#N/A,FALSE,"Feuil3";"tableau b",#N/A,FALSE,"Feuil3"}</definedName>
    <definedName name="actwgoals" hidden="1">{"CHART3A",#N/A,FALSE,"CHART12"}</definedName>
    <definedName name="ACwvu.ALL." hidden="1">#REF!</definedName>
    <definedName name="ACwvu.CAM._.RATES." hidden="1">#REF!</definedName>
    <definedName name="ACwvu.CAM._.RECOVERY." hidden="1">#REF!</definedName>
    <definedName name="ACwvu.LSMEET." hidden="1">#REF!</definedName>
    <definedName name="ACwvu.MARKETING._.REVENUE." hidden="1">#REF!</definedName>
    <definedName name="ACwvu.OCCUPANCY." hidden="1">#REF!</definedName>
    <definedName name="ACwvu.TAX._.RATES." hidden="1">#REF!</definedName>
    <definedName name="ACwvu.TAX._.RECOVERY." hidden="1">#REF!</definedName>
    <definedName name="ACwvu.WAT." hidden="1">#REF!</definedName>
    <definedName name="a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fa" hidden="1">{"cap_structure",#N/A,FALSE,"Graph-Mkt Cap";"price",#N/A,FALSE,"Graph-Price";"ebit",#N/A,FALSE,"Graph-EBITDA";"ebitda",#N/A,FALSE,"Graph-EBITDA"}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ministration">"Administration"</definedName>
    <definedName name="adopted_gross_value">#REF!</definedName>
    <definedName name="adopted_net_value">#REF!</definedName>
    <definedName name="ads" hidden="1">{"inputs raw data",#N/A,TRUE,"INPUT"}</definedName>
    <definedName name="ADSFA" hidden="1">{"inputs raw data",#N/A,TRUE,"INPUT"}</definedName>
    <definedName name="AEWEW" hidden="1">{"inputs raw data",#N/A,TRUE,"INPUT"}</definedName>
    <definedName name="afd" hidden="1">{"CHART6",#N/A,FALSE,"CHART12"}</definedName>
    <definedName name="ahx" hidden="1">{"Cover",#N/A,FALSE,"Cover";"Summary",#N/A,FALSE,"Summarpage"}</definedName>
    <definedName name="Alecta_Sammanställning_Värdering_Rensad">#REF!</definedName>
    <definedName name="Andenleje">"Andenleje"</definedName>
    <definedName name="ÄnderungBP">#N/A</definedName>
    <definedName name="anscount" hidden="1">1</definedName>
    <definedName name="aoij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P_FUSIÓN_IAS" hidden="1">{#N/A,#N/A,FALSE,"Aging Summary";#N/A,#N/A,FALSE,"Ratio Analysis";#N/A,#N/A,FALSE,"Test 120 Day Accts";#N/A,#N/A,FALSE,"Tickmarks"}</definedName>
    <definedName name="ar60days" hidden="1">{"Binder",#N/A,FALSE,"VARIANCES";"Binder",#N/A,FALSE,"DEPR";"Binder",#N/A,FALSE,"BAD DEBTS";"Binder",#N/A,FALSE,"ARrec";"Binder",#N/A,FALSE,"RECOVER";"Binder",#N/A,FALSE,"CAM DEPR";"Binder",#N/A,FALSE,"%RENT";"Binder",#N/A,FALSE,"NEWFASB";"Binder",#N/A,FALSE,"UNOREC CALC";"Binder",#N/A,FALSE,"MIE CALC";"Binder",#N/A,FALSE,"AMORT";"Binder",#N/A,FALSE,"6%LSE TEST";"Binder",#N/A,FALSE,"TI DETAIL";"Binder",#N/A,FALSE,"OTHER ASSETS";"Binder",#N/A,FALSE,"INTERCO";"Binder",#N/A,FALSE,"MGMT FEE";"Binder",#N/A,FALSE,"CIP INTEREST";"Binder",#N/A,FALSE,"CIP";"Binder",#N/A,FALSE,"RE TAXES";"Binder",#N/A,FALSE,"PAYROLL";"Binder",#N/A,FALSE,"OTHER LIAB";"Binder",#N/A,FALSE,"EQUITY"}</definedName>
    <definedName name="area">#REF!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{"FCB_ALL",#N/A,FALSE,"FCB"}</definedName>
    <definedName name="AS2DocOpenMode" hidden="1">"AS2DocumentEdit"</definedName>
    <definedName name="AS2HasNoAutoHeaderFooter" hidden="1">" "</definedName>
    <definedName name="asdf_1" hidden="1">{"sales",#N/A,FALSE,"Sales";"sales existing",#N/A,FALSE,"Sales";"sales rd1",#N/A,FALSE,"Sales";"sales rd2",#N/A,FALSE,"Sales"}</definedName>
    <definedName name="asdf2" hidden="1">{#N/A,#N/A,FALSE,"OperatingAssumptions"}</definedName>
    <definedName name="asdf3" hidden="1">{#N/A,#N/A,FALSE,"LoanAssumptions"}</definedName>
    <definedName name="asdf5" hidden="1">{"MonthlyRentRoll",#N/A,FALSE,"RentRoll"}</definedName>
    <definedName name="asdf7" hidden="1">{#N/A,#N/A,TRUE,"Summary";"AnnualRentRoll",#N/A,TRUE,"RentRoll";#N/A,#N/A,TRUE,"ExitStratigy";#N/A,#N/A,TRUE,"OperatingAssumptions"}</definedName>
    <definedName name="asdfasdfasdfa" hidden="1">binary</definedName>
    <definedName name="asdfasfsa" hidden="1">binary</definedName>
    <definedName name="asf" hidden="1">binary</definedName>
    <definedName name="asfsaf" hidden="1">binary</definedName>
    <definedName name="AufgabegewinnBP">MATCH(0.01,end_bal,-1)+1</definedName>
    <definedName name="b" hidden="1">{#N/A,#N/A,FALSE,"CAM Spreadsheet-A";#N/A,#N/A,FALSE,"CAM Expenses";#N/A,#N/A,FALSE,"Roof Repairs";#N/A,#N/A,FALSE,"WtdAvgSum-G";#N/A,#N/A,FALSE,"Weighted Averag";#N/A,#N/A,FALSE,"Pool 2A";#N/A,#N/A,FALSE,"Pool 2B";#N/A,#N/A,FALSE,"Pool 3B";#N/A,#N/A,FALSE,"Pool 4B";#N/A,#N/A,FALSE,"Pool 1C";#N/A,#N/A,FALSE,"Pool 2C";#N/A,#N/A,FALSE,"Pool 5C";#N/A,#N/A,FALSE,"Radio Shack";#N/A,#N/A,FALSE,"Gottschalks"}</definedName>
    <definedName name="B_typeBolig" hidden="1">#REF!</definedName>
    <definedName name="B_typeErhverv" hidden="1">#REF!</definedName>
    <definedName name="B1_B">"Rating"</definedName>
    <definedName name="Bad_debt">#REF!</definedName>
    <definedName name="baSGDXQSG" hidden="1">{"Cover",#N/A,FALSE,"Cover";"Summary",#N/A,FALSE,"Summarpage"}</definedName>
    <definedName name="benelux" hidden="1">{"Cover",#N/A,FALSE,"Cover";"Summary",#N/A,FALSE,"Summarpage"}</definedName>
    <definedName name="BLPB1" hidden="1">#REF!</definedName>
    <definedName name="BLPB10" hidden="1">#REF!</definedName>
    <definedName name="BLPB2" hidden="1">#REF!</definedName>
    <definedName name="BLPB3" hidden="1">#REF!</definedName>
    <definedName name="BLPB4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4" hidden="1">#REF!</definedName>
    <definedName name="BLPH3" hidden="1">#REF!</definedName>
    <definedName name="Boa">#REF!</definedName>
    <definedName name="Boligleje">"Boligleje"</definedName>
    <definedName name="bou" hidden="1">{"tableau a",#N/A,FALSE,"Feuil3";"tableau b",#N/A,FALSE,"Feuil3"}</definedName>
    <definedName name="BudgDÅ">3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ild_park">#REF!</definedName>
    <definedName name="BvA.Resultat.B10">#REF!</definedName>
    <definedName name="BvA.Resultat.B100">#REF!</definedName>
    <definedName name="BvA.Resultat.B102">#REF!</definedName>
    <definedName name="BvA.Resultat.B104">#REF!</definedName>
    <definedName name="BvA.Resultat.B106">#REF!</definedName>
    <definedName name="BvA.Resultat.B108">#REF!</definedName>
    <definedName name="BvA.Resultat.B110">#REF!</definedName>
    <definedName name="BvA.Resultat.B112">#REF!</definedName>
    <definedName name="BvA.Resultat.B114">#REF!</definedName>
    <definedName name="BvA.Resultat.B116">#REF!</definedName>
    <definedName name="BvA.Resultat.B118">#REF!</definedName>
    <definedName name="BvA.Resultat.B12">#REF!</definedName>
    <definedName name="BvA.Resultat.B120">#REF!</definedName>
    <definedName name="BvA.Resultat.B122">#REF!</definedName>
    <definedName name="BvA.Resultat.B124">#REF!</definedName>
    <definedName name="BvA.Resultat.B126">#REF!</definedName>
    <definedName name="BvA.Resultat.B128">#REF!</definedName>
    <definedName name="BvA.Resultat.B131">#REF!</definedName>
    <definedName name="BvA.Resultat.B133">#REF!</definedName>
    <definedName name="BvA.Resultat.B135">#REF!</definedName>
    <definedName name="BvA.Resultat.B137">#REF!</definedName>
    <definedName name="BvA.Resultat.B139">#REF!</definedName>
    <definedName name="BvA.Resultat.B14">#REF!</definedName>
    <definedName name="BvA.Resultat.B141">#REF!</definedName>
    <definedName name="BvA.Resultat.B144">#REF!</definedName>
    <definedName name="BvA.Resultat.B146">#REF!</definedName>
    <definedName name="BvA.Resultat.B148">#REF!</definedName>
    <definedName name="BvA.Resultat.B150">#REF!</definedName>
    <definedName name="BvA.Resultat.B152">#REF!</definedName>
    <definedName name="BvA.Resultat.B154">#REF!</definedName>
    <definedName name="BvA.Resultat.B156">#REF!</definedName>
    <definedName name="BvA.Resultat.B158">#REF!</definedName>
    <definedName name="BvA.Resultat.B16">#REF!</definedName>
    <definedName name="BvA.Resultat.B160">#REF!</definedName>
    <definedName name="BvA.Resultat.B162">#REF!</definedName>
    <definedName name="BvA.Resultat.B164">#REF!</definedName>
    <definedName name="BvA.Resultat.B167">#REF!</definedName>
    <definedName name="BvA.Resultat.B169">#REF!</definedName>
    <definedName name="BvA.Resultat.B171">#REF!</definedName>
    <definedName name="BvA.Resultat.B173">#REF!</definedName>
    <definedName name="BvA.Resultat.B175">#REF!</definedName>
    <definedName name="BvA.Resultat.B177">#REF!</definedName>
    <definedName name="BvA.Resultat.B179">#REF!</definedName>
    <definedName name="BvA.Resultat.B18">#REF!</definedName>
    <definedName name="BvA.Resultat.B181">#REF!</definedName>
    <definedName name="BvA.Resultat.B183">#REF!</definedName>
    <definedName name="BvA.Resultat.B186">#REF!</definedName>
    <definedName name="BvA.Resultat.B188">#REF!</definedName>
    <definedName name="BvA.Resultat.B190">#REF!</definedName>
    <definedName name="BvA.Resultat.B192">#REF!</definedName>
    <definedName name="BvA.Resultat.B195">#REF!</definedName>
    <definedName name="BvA.Resultat.B197">#REF!</definedName>
    <definedName name="BvA.Resultat.B2">#REF!</definedName>
    <definedName name="BvA.Resultat.B20">#REF!</definedName>
    <definedName name="BvA.Resultat.B22">#REF!</definedName>
    <definedName name="BvA.Resultat.B24">#REF!</definedName>
    <definedName name="BvA.Resultat.B26">#REF!</definedName>
    <definedName name="BvA.Resultat.B28">#REF!</definedName>
    <definedName name="BvA.Resultat.B30">#REF!</definedName>
    <definedName name="BvA.Resultat.B32">#REF!</definedName>
    <definedName name="BvA.Resultat.B34">#REF!</definedName>
    <definedName name="BvA.Resultat.B36">#REF!</definedName>
    <definedName name="BvA.Resultat.B42">#REF!</definedName>
    <definedName name="BvA.Resultat.B44">#REF!</definedName>
    <definedName name="BvA.Resultat.B46">#REF!</definedName>
    <definedName name="BvA.Resultat.B48">#REF!</definedName>
    <definedName name="BvA.Resultat.B50">#REF!</definedName>
    <definedName name="BvA.Resultat.B52">#REF!</definedName>
    <definedName name="BvA.Resultat.B54">#REF!</definedName>
    <definedName name="BvA.Resultat.B56">#REF!</definedName>
    <definedName name="BvA.Resultat.B58">#REF!</definedName>
    <definedName name="BvA.Resultat.B60">#REF!</definedName>
    <definedName name="BvA.Resultat.B62">#REF!</definedName>
    <definedName name="BvA.Resultat.B64">#REF!</definedName>
    <definedName name="BvA.Resultat.B66">#REF!</definedName>
    <definedName name="BvA.Resultat.B68">#REF!</definedName>
    <definedName name="BvA.Resultat.B70">#REF!</definedName>
    <definedName name="BvA.Resultat.B72">#REF!</definedName>
    <definedName name="BvA.Resultat.B74">#REF!</definedName>
    <definedName name="BvA.Resultat.B76">#REF!</definedName>
    <definedName name="BvA.Resultat.B78">#REF!</definedName>
    <definedName name="BvA.Resultat.B80">#REF!</definedName>
    <definedName name="BvA.Resultat.B82">#REF!</definedName>
    <definedName name="BvA.Resultat.B85">#REF!</definedName>
    <definedName name="BvA.Resultat.B87">#REF!</definedName>
    <definedName name="BvA.Resultat.B92">#REF!</definedName>
    <definedName name="BvA.Resultat.B94">#REF!</definedName>
    <definedName name="BvA.Resultat.B96">#REF!</definedName>
    <definedName name="BvA.Resultat.B98">#REF!</definedName>
    <definedName name="BvA.Resultat.C10">#REF!</definedName>
    <definedName name="BvA.Resultat.C100">#REF!</definedName>
    <definedName name="BvA.Resultat.C102">#REF!</definedName>
    <definedName name="BvA.Resultat.C104">#REF!</definedName>
    <definedName name="BvA.Resultat.C106">#REF!</definedName>
    <definedName name="BvA.Resultat.C108">#REF!</definedName>
    <definedName name="BvA.Resultat.C110">#REF!</definedName>
    <definedName name="BvA.Resultat.C112">#REF!</definedName>
    <definedName name="BvA.Resultat.C114">#REF!</definedName>
    <definedName name="BvA.Resultat.C116">#REF!</definedName>
    <definedName name="BvA.Resultat.C118">#REF!</definedName>
    <definedName name="BvA.Resultat.C12">#REF!</definedName>
    <definedName name="BvA.Resultat.C120">#REF!</definedName>
    <definedName name="BvA.Resultat.C122">#REF!</definedName>
    <definedName name="BvA.Resultat.C124">#REF!</definedName>
    <definedName name="BvA.Resultat.C126">#REF!</definedName>
    <definedName name="BvA.Resultat.C128">#REF!</definedName>
    <definedName name="BvA.Resultat.C131">#REF!</definedName>
    <definedName name="BvA.Resultat.C133">#REF!</definedName>
    <definedName name="BvA.Resultat.C135">#REF!</definedName>
    <definedName name="BvA.Resultat.C137">#REF!</definedName>
    <definedName name="BvA.Resultat.C139">#REF!</definedName>
    <definedName name="BvA.Resultat.C14">#REF!</definedName>
    <definedName name="BvA.Resultat.C141">#REF!</definedName>
    <definedName name="BvA.Resultat.C144">#REF!</definedName>
    <definedName name="BvA.Resultat.C146">#REF!</definedName>
    <definedName name="BvA.Resultat.C148">#REF!</definedName>
    <definedName name="BvA.Resultat.C150">#REF!</definedName>
    <definedName name="BvA.Resultat.C152">#REF!</definedName>
    <definedName name="BvA.Resultat.C154">#REF!</definedName>
    <definedName name="BvA.Resultat.C156">#REF!</definedName>
    <definedName name="BvA.Resultat.C158">#REF!</definedName>
    <definedName name="BvA.Resultat.C16">#REF!</definedName>
    <definedName name="BvA.Resultat.C160">#REF!</definedName>
    <definedName name="BvA.Resultat.C162">#REF!</definedName>
    <definedName name="BvA.Resultat.C164">#REF!</definedName>
    <definedName name="BvA.Resultat.C167">#REF!</definedName>
    <definedName name="BvA.Resultat.C169">#REF!</definedName>
    <definedName name="BvA.Resultat.C171">#REF!</definedName>
    <definedName name="BvA.Resultat.C173">#REF!</definedName>
    <definedName name="BvA.Resultat.C175">#REF!</definedName>
    <definedName name="BvA.Resultat.C177">#REF!</definedName>
    <definedName name="BvA.Resultat.C179">#REF!</definedName>
    <definedName name="BvA.Resultat.C18">#REF!</definedName>
    <definedName name="BvA.Resultat.C181">#REF!</definedName>
    <definedName name="BvA.Resultat.C183">#REF!</definedName>
    <definedName name="BvA.Resultat.C186">#REF!</definedName>
    <definedName name="BvA.Resultat.C188">#REF!</definedName>
    <definedName name="BvA.Resultat.C190">#REF!</definedName>
    <definedName name="BvA.Resultat.C192">#REF!</definedName>
    <definedName name="BvA.Resultat.C195">#REF!</definedName>
    <definedName name="BvA.Resultat.C197">#REF!</definedName>
    <definedName name="BvA.Resultat.C20">#REF!</definedName>
    <definedName name="BvA.Resultat.C22">#REF!</definedName>
    <definedName name="BvA.Resultat.C24">#REF!</definedName>
    <definedName name="BvA.Resultat.C26">#REF!</definedName>
    <definedName name="BvA.Resultat.C28">#REF!</definedName>
    <definedName name="BvA.Resultat.C30">#REF!</definedName>
    <definedName name="BvA.Resultat.C32">#REF!</definedName>
    <definedName name="BvA.Resultat.C34">#REF!</definedName>
    <definedName name="BvA.Resultat.C36">#REF!</definedName>
    <definedName name="BvA.Resultat.C42">#REF!</definedName>
    <definedName name="BvA.Resultat.C44">#REF!</definedName>
    <definedName name="BvA.Resultat.C46">#REF!</definedName>
    <definedName name="BvA.Resultat.C48">#REF!</definedName>
    <definedName name="BvA.Resultat.C50">#REF!</definedName>
    <definedName name="BvA.Resultat.C52">#REF!</definedName>
    <definedName name="BvA.Resultat.C54">#REF!</definedName>
    <definedName name="BvA.Resultat.C56">#REF!</definedName>
    <definedName name="BvA.Resultat.C58">#REF!</definedName>
    <definedName name="BvA.Resultat.C60">#REF!</definedName>
    <definedName name="BvA.Resultat.C62">#REF!</definedName>
    <definedName name="BvA.Resultat.C64">#REF!</definedName>
    <definedName name="BvA.Resultat.C66">#REF!</definedName>
    <definedName name="BvA.Resultat.C68">#REF!</definedName>
    <definedName name="BvA.Resultat.C70">#REF!</definedName>
    <definedName name="BvA.Resultat.C72">#REF!</definedName>
    <definedName name="BvA.Resultat.C74">#REF!</definedName>
    <definedName name="BvA.Resultat.C76">#REF!</definedName>
    <definedName name="BvA.Resultat.C78">#REF!</definedName>
    <definedName name="BvA.Resultat.C80">#REF!</definedName>
    <definedName name="BvA.Resultat.C82">#REF!</definedName>
    <definedName name="BvA.Resultat.C85">#REF!</definedName>
    <definedName name="BvA.Resultat.C87">#REF!</definedName>
    <definedName name="BvA.Resultat.C92">#REF!</definedName>
    <definedName name="BvA.Resultat.C94">#REF!</definedName>
    <definedName name="BvA.Resultat.C96">#REF!</definedName>
    <definedName name="BvA.Resultat.C98">#REF!</definedName>
    <definedName name="BvA.Resultat.D10">#REF!</definedName>
    <definedName name="BvA.Resultat.D100">#REF!</definedName>
    <definedName name="BvA.Resultat.D102">#REF!</definedName>
    <definedName name="BvA.Resultat.D104">#REF!</definedName>
    <definedName name="BvA.Resultat.D106">#REF!</definedName>
    <definedName name="BvA.Resultat.D108">#REF!</definedName>
    <definedName name="BvA.Resultat.D110">#REF!</definedName>
    <definedName name="BvA.Resultat.D112">#REF!</definedName>
    <definedName name="BvA.Resultat.D114">#REF!</definedName>
    <definedName name="BvA.Resultat.D116">#REF!</definedName>
    <definedName name="BvA.Resultat.D118">#REF!</definedName>
    <definedName name="BvA.Resultat.D12">#REF!</definedName>
    <definedName name="BvA.Resultat.D120">#REF!</definedName>
    <definedName name="BvA.Resultat.D122">#REF!</definedName>
    <definedName name="BvA.Resultat.D124">#REF!</definedName>
    <definedName name="BvA.Resultat.D126">#REF!</definedName>
    <definedName name="BvA.Resultat.D128">#REF!</definedName>
    <definedName name="BvA.Resultat.D131">#REF!</definedName>
    <definedName name="BvA.Resultat.D133">#REF!</definedName>
    <definedName name="BvA.Resultat.D135">#REF!</definedName>
    <definedName name="BvA.Resultat.D137">#REF!</definedName>
    <definedName name="BvA.Resultat.D139">#REF!</definedName>
    <definedName name="BvA.Resultat.D14">#REF!</definedName>
    <definedName name="BvA.Resultat.D141">#REF!</definedName>
    <definedName name="BvA.Resultat.D144">#REF!</definedName>
    <definedName name="BvA.Resultat.D146">#REF!</definedName>
    <definedName name="BvA.Resultat.D148">#REF!</definedName>
    <definedName name="BvA.Resultat.D150">#REF!</definedName>
    <definedName name="BvA.Resultat.D152">#REF!</definedName>
    <definedName name="BvA.Resultat.D154">#REF!</definedName>
    <definedName name="BvA.Resultat.D156">#REF!</definedName>
    <definedName name="BvA.Resultat.D158">#REF!</definedName>
    <definedName name="BvA.Resultat.D16">#REF!</definedName>
    <definedName name="BvA.Resultat.D160">#REF!</definedName>
    <definedName name="BvA.Resultat.D162">#REF!</definedName>
    <definedName name="BvA.Resultat.D164">#REF!</definedName>
    <definedName name="BvA.Resultat.D167">#REF!</definedName>
    <definedName name="BvA.Resultat.D169">#REF!</definedName>
    <definedName name="BvA.Resultat.D171">#REF!</definedName>
    <definedName name="BvA.Resultat.D173">#REF!</definedName>
    <definedName name="BvA.Resultat.D175">#REF!</definedName>
    <definedName name="BvA.Resultat.D177">#REF!</definedName>
    <definedName name="BvA.Resultat.D179">#REF!</definedName>
    <definedName name="BvA.Resultat.D18">#REF!</definedName>
    <definedName name="BvA.Resultat.D181">#REF!</definedName>
    <definedName name="BvA.Resultat.D183">#REF!</definedName>
    <definedName name="BvA.Resultat.D186">#REF!</definedName>
    <definedName name="BvA.Resultat.D188">#REF!</definedName>
    <definedName name="BvA.Resultat.D190">#REF!</definedName>
    <definedName name="BvA.Resultat.D192">#REF!</definedName>
    <definedName name="BvA.Resultat.D20">#REF!</definedName>
    <definedName name="BvA.Resultat.D22">#REF!</definedName>
    <definedName name="BvA.Resultat.D24">#REF!</definedName>
    <definedName name="BvA.Resultat.D26">#REF!</definedName>
    <definedName name="BvA.Resultat.D28">#REF!</definedName>
    <definedName name="BvA.Resultat.D30">#REF!</definedName>
    <definedName name="BvA.Resultat.D32">#REF!</definedName>
    <definedName name="BvA.Resultat.D34">#REF!</definedName>
    <definedName name="BvA.Resultat.D36">#REF!</definedName>
    <definedName name="BvA.Resultat.D42">#REF!</definedName>
    <definedName name="BvA.Resultat.D44">#REF!</definedName>
    <definedName name="BvA.Resultat.D46">#REF!</definedName>
    <definedName name="BvA.Resultat.D48">#REF!</definedName>
    <definedName name="BvA.Resultat.D50">#REF!</definedName>
    <definedName name="BvA.Resultat.D52">#REF!</definedName>
    <definedName name="BvA.Resultat.D54">#REF!</definedName>
    <definedName name="BvA.Resultat.D56">#REF!</definedName>
    <definedName name="BvA.Resultat.D58">#REF!</definedName>
    <definedName name="BvA.Resultat.D60">#REF!</definedName>
    <definedName name="BvA.Resultat.D62">#REF!</definedName>
    <definedName name="BvA.Resultat.D64">#REF!</definedName>
    <definedName name="BvA.Resultat.D66">#REF!</definedName>
    <definedName name="BvA.Resultat.D68">#REF!</definedName>
    <definedName name="BvA.Resultat.D70">#REF!</definedName>
    <definedName name="BvA.Resultat.D72">#REF!</definedName>
    <definedName name="BvA.Resultat.D74">#REF!</definedName>
    <definedName name="BvA.Resultat.D76">#REF!</definedName>
    <definedName name="BvA.Resultat.D78">#REF!</definedName>
    <definedName name="BvA.Resultat.D80">#REF!</definedName>
    <definedName name="BvA.Resultat.D82">#REF!</definedName>
    <definedName name="BvA.Resultat.D85">#REF!</definedName>
    <definedName name="BvA.Resultat.D87">#REF!</definedName>
    <definedName name="BvA.Resultat.D92">#REF!</definedName>
    <definedName name="BvA.Resultat.D94">#REF!</definedName>
    <definedName name="BvA.Resultat.D96">#REF!</definedName>
    <definedName name="BvA.Resultat.D98">#REF!</definedName>
    <definedName name="BvA.Resultat.E10">#REF!</definedName>
    <definedName name="BvA.Resultat.E100">#REF!</definedName>
    <definedName name="BvA.Resultat.E102">#REF!</definedName>
    <definedName name="BvA.Resultat.E104">#REF!</definedName>
    <definedName name="BvA.Resultat.E106">#REF!</definedName>
    <definedName name="BvA.Resultat.E108">#REF!</definedName>
    <definedName name="BvA.Resultat.E110">#REF!</definedName>
    <definedName name="BvA.Resultat.E112">#REF!</definedName>
    <definedName name="BvA.Resultat.E114">#REF!</definedName>
    <definedName name="BvA.Resultat.E116">#REF!</definedName>
    <definedName name="BvA.Resultat.E118">#REF!</definedName>
    <definedName name="BvA.Resultat.E12">#REF!</definedName>
    <definedName name="BvA.Resultat.E120">#REF!</definedName>
    <definedName name="BvA.Resultat.E122">#REF!</definedName>
    <definedName name="BvA.Resultat.E124">#REF!</definedName>
    <definedName name="BvA.Resultat.E126">#REF!</definedName>
    <definedName name="BvA.Resultat.E128">#REF!</definedName>
    <definedName name="BvA.Resultat.E131">#REF!</definedName>
    <definedName name="BvA.Resultat.E133">#REF!</definedName>
    <definedName name="BvA.Resultat.E135">#REF!</definedName>
    <definedName name="BvA.Resultat.E137">#REF!</definedName>
    <definedName name="BvA.Resultat.E139">#REF!</definedName>
    <definedName name="BvA.Resultat.E14">#REF!</definedName>
    <definedName name="BvA.Resultat.E141">#REF!</definedName>
    <definedName name="BvA.Resultat.E144">#REF!</definedName>
    <definedName name="BvA.Resultat.E146">#REF!</definedName>
    <definedName name="BvA.Resultat.E148">#REF!</definedName>
    <definedName name="BvA.Resultat.E150">#REF!</definedName>
    <definedName name="BvA.Resultat.E152">#REF!</definedName>
    <definedName name="BvA.Resultat.E154">#REF!</definedName>
    <definedName name="BvA.Resultat.E156">#REF!</definedName>
    <definedName name="BvA.Resultat.E158">#REF!</definedName>
    <definedName name="BvA.Resultat.E16">#REF!</definedName>
    <definedName name="BvA.Resultat.E160">#REF!</definedName>
    <definedName name="BvA.Resultat.E162">#REF!</definedName>
    <definedName name="BvA.Resultat.E164">#REF!</definedName>
    <definedName name="BvA.Resultat.E167">#REF!</definedName>
    <definedName name="BvA.Resultat.E169">#REF!</definedName>
    <definedName name="BvA.Resultat.E171">#REF!</definedName>
    <definedName name="BvA.Resultat.E173">#REF!</definedName>
    <definedName name="BvA.Resultat.E175">#REF!</definedName>
    <definedName name="BvA.Resultat.E177">#REF!</definedName>
    <definedName name="BvA.Resultat.E179">#REF!</definedName>
    <definedName name="BvA.Resultat.E18">#REF!</definedName>
    <definedName name="BvA.Resultat.E181">#REF!</definedName>
    <definedName name="BvA.Resultat.E183">#REF!</definedName>
    <definedName name="BvA.Resultat.E186">#REF!</definedName>
    <definedName name="BvA.Resultat.E188">#REF!</definedName>
    <definedName name="BvA.Resultat.E190">#REF!</definedName>
    <definedName name="BvA.Resultat.E192">#REF!</definedName>
    <definedName name="BvA.Resultat.E20">#REF!</definedName>
    <definedName name="BvA.Resultat.E22">#REF!</definedName>
    <definedName name="BvA.Resultat.E24">#REF!</definedName>
    <definedName name="BvA.Resultat.E26">#REF!</definedName>
    <definedName name="BvA.Resultat.E28">#REF!</definedName>
    <definedName name="BvA.Resultat.E30">#REF!</definedName>
    <definedName name="BvA.Resultat.E32">#REF!</definedName>
    <definedName name="BvA.Resultat.E34">#REF!</definedName>
    <definedName name="BvA.Resultat.E36">#REF!</definedName>
    <definedName name="BvA.Resultat.E42">#REF!</definedName>
    <definedName name="BvA.Resultat.E44">#REF!</definedName>
    <definedName name="BvA.Resultat.E46">#REF!</definedName>
    <definedName name="BvA.Resultat.E48">#REF!</definedName>
    <definedName name="BvA.Resultat.E50">#REF!</definedName>
    <definedName name="BvA.Resultat.E52">#REF!</definedName>
    <definedName name="BvA.Resultat.E54">#REF!</definedName>
    <definedName name="BvA.Resultat.E56">#REF!</definedName>
    <definedName name="BvA.Resultat.E58">#REF!</definedName>
    <definedName name="BvA.Resultat.E60">#REF!</definedName>
    <definedName name="BvA.Resultat.E62">#REF!</definedName>
    <definedName name="BvA.Resultat.E64">#REF!</definedName>
    <definedName name="BvA.Resultat.E66">#REF!</definedName>
    <definedName name="BvA.Resultat.E68">#REF!</definedName>
    <definedName name="BvA.Resultat.E70">#REF!</definedName>
    <definedName name="BvA.Resultat.E72">#REF!</definedName>
    <definedName name="BvA.Resultat.E74">#REF!</definedName>
    <definedName name="BvA.Resultat.E76">#REF!</definedName>
    <definedName name="BvA.Resultat.E78">#REF!</definedName>
    <definedName name="BvA.Resultat.E80">#REF!</definedName>
    <definedName name="BvA.Resultat.E82">#REF!</definedName>
    <definedName name="BvA.Resultat.E85">#REF!</definedName>
    <definedName name="BvA.Resultat.E87">#REF!</definedName>
    <definedName name="BvA.Resultat.E92">#REF!</definedName>
    <definedName name="BvA.Resultat.E94">#REF!</definedName>
    <definedName name="BvA.Resultat.E96">#REF!</definedName>
    <definedName name="BvA.Resultat.E98">#REF!</definedName>
    <definedName name="BvA.Resultat.H10">#REF!</definedName>
    <definedName name="BvA.Resultat.H100">#REF!</definedName>
    <definedName name="BvA.Resultat.H102">#REF!</definedName>
    <definedName name="BvA.Resultat.H104">#REF!</definedName>
    <definedName name="BvA.Resultat.H106">#REF!</definedName>
    <definedName name="BvA.Resultat.H108">#REF!</definedName>
    <definedName name="BvA.Resultat.H110">#REF!</definedName>
    <definedName name="BvA.Resultat.H112">#REF!</definedName>
    <definedName name="BvA.Resultat.H114">#REF!</definedName>
    <definedName name="BvA.Resultat.H116">#REF!</definedName>
    <definedName name="BvA.Resultat.H118">#REF!</definedName>
    <definedName name="BvA.Resultat.H12">#REF!</definedName>
    <definedName name="BvA.Resultat.H120">#REF!</definedName>
    <definedName name="BvA.Resultat.H122">#REF!</definedName>
    <definedName name="BvA.Resultat.H124">#REF!</definedName>
    <definedName name="BvA.Resultat.H126">#REF!</definedName>
    <definedName name="BvA.Resultat.H128">#REF!</definedName>
    <definedName name="BvA.Resultat.H131">#REF!</definedName>
    <definedName name="BvA.Resultat.H133">#REF!</definedName>
    <definedName name="BvA.Resultat.H135">#REF!</definedName>
    <definedName name="BvA.Resultat.H137">#REF!</definedName>
    <definedName name="BvA.Resultat.H139">#REF!</definedName>
    <definedName name="BvA.Resultat.H14">#REF!</definedName>
    <definedName name="BvA.Resultat.H141">#REF!</definedName>
    <definedName name="BvA.Resultat.H144">#REF!</definedName>
    <definedName name="BvA.Resultat.H146">#REF!</definedName>
    <definedName name="BvA.Resultat.H148">#REF!</definedName>
    <definedName name="BvA.Resultat.H150">#REF!</definedName>
    <definedName name="BvA.Resultat.H152">#REF!</definedName>
    <definedName name="BvA.Resultat.H154">#REF!</definedName>
    <definedName name="BvA.Resultat.H156">#REF!</definedName>
    <definedName name="BvA.Resultat.H158">#REF!</definedName>
    <definedName name="BvA.Resultat.H16">#REF!</definedName>
    <definedName name="BvA.Resultat.H160">#REF!</definedName>
    <definedName name="BvA.Resultat.H162">#REF!</definedName>
    <definedName name="BvA.Resultat.H164">#REF!</definedName>
    <definedName name="BvA.Resultat.H167">#REF!</definedName>
    <definedName name="BvA.Resultat.H169">#REF!</definedName>
    <definedName name="BvA.Resultat.H171">#REF!</definedName>
    <definedName name="BvA.Resultat.H173">#REF!</definedName>
    <definedName name="BvA.Resultat.H175">#REF!</definedName>
    <definedName name="BvA.Resultat.H177">#REF!</definedName>
    <definedName name="BvA.Resultat.H179">#REF!</definedName>
    <definedName name="BvA.Resultat.H18">#REF!</definedName>
    <definedName name="BvA.Resultat.H181">#REF!</definedName>
    <definedName name="BvA.Resultat.H183">#REF!</definedName>
    <definedName name="BvA.Resultat.H186">#REF!</definedName>
    <definedName name="BvA.Resultat.H188">#REF!</definedName>
    <definedName name="BvA.Resultat.H190">#REF!</definedName>
    <definedName name="BvA.Resultat.H192">#REF!</definedName>
    <definedName name="BvA.Resultat.H195">#REF!</definedName>
    <definedName name="BvA.Resultat.H20">#REF!</definedName>
    <definedName name="BvA.Resultat.H22">#REF!</definedName>
    <definedName name="BvA.Resultat.H24">#REF!</definedName>
    <definedName name="BvA.Resultat.H26">#REF!</definedName>
    <definedName name="BvA.Resultat.H28">#REF!</definedName>
    <definedName name="BvA.Resultat.H30">#REF!</definedName>
    <definedName name="BvA.Resultat.H32">#REF!</definedName>
    <definedName name="BvA.Resultat.H34">#REF!</definedName>
    <definedName name="BvA.Resultat.H36">#REF!</definedName>
    <definedName name="BvA.Resultat.H42">#REF!</definedName>
    <definedName name="BvA.Resultat.H44">#REF!</definedName>
    <definedName name="BvA.Resultat.H46">#REF!</definedName>
    <definedName name="BvA.Resultat.H48">#REF!</definedName>
    <definedName name="BvA.Resultat.H50">#REF!</definedName>
    <definedName name="BvA.Resultat.H52">#REF!</definedName>
    <definedName name="BvA.Resultat.H54">#REF!</definedName>
    <definedName name="BvA.Resultat.H56">#REF!</definedName>
    <definedName name="BvA.Resultat.H58">#REF!</definedName>
    <definedName name="BvA.Resultat.H60">#REF!</definedName>
    <definedName name="BvA.Resultat.H62">#REF!</definedName>
    <definedName name="BvA.Resultat.H64">#REF!</definedName>
    <definedName name="BvA.Resultat.H66">#REF!</definedName>
    <definedName name="BvA.Resultat.H68">#REF!</definedName>
    <definedName name="BvA.Resultat.H70">#REF!</definedName>
    <definedName name="BvA.Resultat.H72">#REF!</definedName>
    <definedName name="BvA.Resultat.H74">#REF!</definedName>
    <definedName name="BvA.Resultat.H76">#REF!</definedName>
    <definedName name="BvA.Resultat.H78">#REF!</definedName>
    <definedName name="BvA.Resultat.H80">#REF!</definedName>
    <definedName name="BvA.Resultat.H82">#REF!</definedName>
    <definedName name="BvA.Resultat.H85">#REF!</definedName>
    <definedName name="BvA.Resultat.H87">#REF!</definedName>
    <definedName name="BvA.Resultat.H92">#REF!</definedName>
    <definedName name="BvA.Resultat.H94">#REF!</definedName>
    <definedName name="BvA.Resultat.H96">#REF!</definedName>
    <definedName name="BvA.Resultat.H98">#REF!</definedName>
    <definedName name="BvA.Resultat.I10">#REF!</definedName>
    <definedName name="BvA.Resultat.I100">#REF!</definedName>
    <definedName name="BvA.Resultat.I102">#REF!</definedName>
    <definedName name="BvA.Resultat.I104">#REF!</definedName>
    <definedName name="BvA.Resultat.I106">#REF!</definedName>
    <definedName name="BvA.Resultat.I108">#REF!</definedName>
    <definedName name="BvA.Resultat.I110">#REF!</definedName>
    <definedName name="BvA.Resultat.I112">#REF!</definedName>
    <definedName name="BvA.Resultat.I114">#REF!</definedName>
    <definedName name="BvA.Resultat.I116">#REF!</definedName>
    <definedName name="BvA.Resultat.I118">#REF!</definedName>
    <definedName name="BvA.Resultat.I12">#REF!</definedName>
    <definedName name="BvA.Resultat.I120">#REF!</definedName>
    <definedName name="BvA.Resultat.I122">#REF!</definedName>
    <definedName name="BvA.Resultat.I124">#REF!</definedName>
    <definedName name="BvA.Resultat.I126">#REF!</definedName>
    <definedName name="BvA.Resultat.I128">#REF!</definedName>
    <definedName name="BvA.Resultat.I131">#REF!</definedName>
    <definedName name="BvA.Resultat.I133">#REF!</definedName>
    <definedName name="BvA.Resultat.I135">#REF!</definedName>
    <definedName name="BvA.Resultat.I137">#REF!</definedName>
    <definedName name="BvA.Resultat.I139">#REF!</definedName>
    <definedName name="BvA.Resultat.I14">#REF!</definedName>
    <definedName name="BvA.Resultat.I141">#REF!</definedName>
    <definedName name="BvA.Resultat.I144">#REF!</definedName>
    <definedName name="BvA.Resultat.I146">#REF!</definedName>
    <definedName name="BvA.Resultat.I148">#REF!</definedName>
    <definedName name="BvA.Resultat.I150">#REF!</definedName>
    <definedName name="BvA.Resultat.I152">#REF!</definedName>
    <definedName name="BvA.Resultat.I154">#REF!</definedName>
    <definedName name="BvA.Resultat.I156">#REF!</definedName>
    <definedName name="BvA.Resultat.I158">#REF!</definedName>
    <definedName name="BvA.Resultat.I16">#REF!</definedName>
    <definedName name="BvA.Resultat.I160">#REF!</definedName>
    <definedName name="BvA.Resultat.I162">#REF!</definedName>
    <definedName name="BvA.Resultat.I164">#REF!</definedName>
    <definedName name="BvA.Resultat.I167">#REF!</definedName>
    <definedName name="BvA.Resultat.I169">#REF!</definedName>
    <definedName name="BvA.Resultat.I171">#REF!</definedName>
    <definedName name="BvA.Resultat.I173">#REF!</definedName>
    <definedName name="BvA.Resultat.I175">#REF!</definedName>
    <definedName name="BvA.Resultat.I177">#REF!</definedName>
    <definedName name="BvA.Resultat.I179">#REF!</definedName>
    <definedName name="BvA.Resultat.I18">#REF!</definedName>
    <definedName name="BvA.Resultat.I181">#REF!</definedName>
    <definedName name="BvA.Resultat.I183">#REF!</definedName>
    <definedName name="BvA.Resultat.I186">#REF!</definedName>
    <definedName name="BvA.Resultat.I188">#REF!</definedName>
    <definedName name="BvA.Resultat.I190">#REF!</definedName>
    <definedName name="BvA.Resultat.I192">#REF!</definedName>
    <definedName name="BvA.Resultat.I195">#REF!</definedName>
    <definedName name="BvA.Resultat.I20">#REF!</definedName>
    <definedName name="BvA.Resultat.I22">#REF!</definedName>
    <definedName name="BvA.Resultat.I24">#REF!</definedName>
    <definedName name="BvA.Resultat.I26">#REF!</definedName>
    <definedName name="BvA.Resultat.I28">#REF!</definedName>
    <definedName name="BvA.Resultat.I30">#REF!</definedName>
    <definedName name="BvA.Resultat.I32">#REF!</definedName>
    <definedName name="BvA.Resultat.I34">#REF!</definedName>
    <definedName name="BvA.Resultat.I36">#REF!</definedName>
    <definedName name="BvA.Resultat.I42">#REF!</definedName>
    <definedName name="BvA.Resultat.I44">#REF!</definedName>
    <definedName name="BvA.Resultat.I46">#REF!</definedName>
    <definedName name="BvA.Resultat.I48">#REF!</definedName>
    <definedName name="BvA.Resultat.I50">#REF!</definedName>
    <definedName name="BvA.Resultat.I52">#REF!</definedName>
    <definedName name="BvA.Resultat.I54">#REF!</definedName>
    <definedName name="BvA.Resultat.I56">#REF!</definedName>
    <definedName name="BvA.Resultat.I58">#REF!</definedName>
    <definedName name="BvA.Resultat.I60">#REF!</definedName>
    <definedName name="BvA.Resultat.I62">#REF!</definedName>
    <definedName name="BvA.Resultat.I64">#REF!</definedName>
    <definedName name="BvA.Resultat.I66">#REF!</definedName>
    <definedName name="BvA.Resultat.I68">#REF!</definedName>
    <definedName name="BvA.Resultat.I70">#REF!</definedName>
    <definedName name="BvA.Resultat.I72">#REF!</definedName>
    <definedName name="BvA.Resultat.I74">#REF!</definedName>
    <definedName name="BvA.Resultat.I76">#REF!</definedName>
    <definedName name="BvA.Resultat.I78">#REF!</definedName>
    <definedName name="BvA.Resultat.I80">#REF!</definedName>
    <definedName name="BvA.Resultat.I82">#REF!</definedName>
    <definedName name="BvA.Resultat.I85">#REF!</definedName>
    <definedName name="BvA.Resultat.I87">#REF!</definedName>
    <definedName name="BvA.Resultat.I92">#REF!</definedName>
    <definedName name="BvA.Resultat.I94">#REF!</definedName>
    <definedName name="BvA.Resultat.I96">#REF!</definedName>
    <definedName name="BvA.Resultat.I98">#REF!</definedName>
    <definedName name="BvA.Resultat.J10">#REF!</definedName>
    <definedName name="BvA.Resultat.J100">#REF!</definedName>
    <definedName name="BvA.Resultat.J102">#REF!</definedName>
    <definedName name="BvA.Resultat.J104">#REF!</definedName>
    <definedName name="BvA.Resultat.J106">#REF!</definedName>
    <definedName name="BvA.Resultat.J108">#REF!</definedName>
    <definedName name="BvA.Resultat.J110">#REF!</definedName>
    <definedName name="BvA.Resultat.J112">#REF!</definedName>
    <definedName name="BvA.Resultat.J114">#REF!</definedName>
    <definedName name="BvA.Resultat.J116">#REF!</definedName>
    <definedName name="BvA.Resultat.J118">#REF!</definedName>
    <definedName name="BvA.Resultat.J12">#REF!</definedName>
    <definedName name="BvA.Resultat.J120">#REF!</definedName>
    <definedName name="BvA.Resultat.J122">#REF!</definedName>
    <definedName name="BvA.Resultat.J124">#REF!</definedName>
    <definedName name="BvA.Resultat.J126">#REF!</definedName>
    <definedName name="BvA.Resultat.J128">#REF!</definedName>
    <definedName name="BvA.Resultat.J131">#REF!</definedName>
    <definedName name="BvA.Resultat.J133">#REF!</definedName>
    <definedName name="BvA.Resultat.J135">#REF!</definedName>
    <definedName name="BvA.Resultat.J137">#REF!</definedName>
    <definedName name="BvA.Resultat.J139">#REF!</definedName>
    <definedName name="BvA.Resultat.J14">#REF!</definedName>
    <definedName name="BvA.Resultat.J141">#REF!</definedName>
    <definedName name="BvA.Resultat.J144">#REF!</definedName>
    <definedName name="BvA.Resultat.J146">#REF!</definedName>
    <definedName name="BvA.Resultat.J148">#REF!</definedName>
    <definedName name="BvA.Resultat.J150">#REF!</definedName>
    <definedName name="BvA.Resultat.J152">#REF!</definedName>
    <definedName name="BvA.Resultat.J154">#REF!</definedName>
    <definedName name="BvA.Resultat.J156">#REF!</definedName>
    <definedName name="BvA.Resultat.J158">#REF!</definedName>
    <definedName name="BvA.Resultat.J16">#REF!</definedName>
    <definedName name="BvA.Resultat.J160">#REF!</definedName>
    <definedName name="BvA.Resultat.J162">#REF!</definedName>
    <definedName name="BvA.Resultat.J164">#REF!</definedName>
    <definedName name="BvA.Resultat.J167">#REF!</definedName>
    <definedName name="BvA.Resultat.J169">#REF!</definedName>
    <definedName name="BvA.Resultat.J171">#REF!</definedName>
    <definedName name="BvA.Resultat.J173">#REF!</definedName>
    <definedName name="BvA.Resultat.J175">#REF!</definedName>
    <definedName name="BvA.Resultat.J177">#REF!</definedName>
    <definedName name="BvA.Resultat.J179">#REF!</definedName>
    <definedName name="BvA.Resultat.J18">#REF!</definedName>
    <definedName name="BvA.Resultat.J181">#REF!</definedName>
    <definedName name="BvA.Resultat.J183">#REF!</definedName>
    <definedName name="BvA.Resultat.J186">#REF!</definedName>
    <definedName name="BvA.Resultat.J188">#REF!</definedName>
    <definedName name="BvA.Resultat.J190">#REF!</definedName>
    <definedName name="BvA.Resultat.J192">#REF!</definedName>
    <definedName name="BvA.Resultat.J20">#REF!</definedName>
    <definedName name="BvA.Resultat.J22">#REF!</definedName>
    <definedName name="BvA.Resultat.J24">#REF!</definedName>
    <definedName name="BvA.Resultat.J26">#REF!</definedName>
    <definedName name="BvA.Resultat.J28">#REF!</definedName>
    <definedName name="BvA.Resultat.J30">#REF!</definedName>
    <definedName name="BvA.Resultat.J32">#REF!</definedName>
    <definedName name="BvA.Resultat.J34">#REF!</definedName>
    <definedName name="BvA.Resultat.J36">#REF!</definedName>
    <definedName name="BvA.Resultat.J42">#REF!</definedName>
    <definedName name="BvA.Resultat.J44">#REF!</definedName>
    <definedName name="BvA.Resultat.J46">#REF!</definedName>
    <definedName name="BvA.Resultat.J48">#REF!</definedName>
    <definedName name="BvA.Resultat.J50">#REF!</definedName>
    <definedName name="BvA.Resultat.J52">#REF!</definedName>
    <definedName name="BvA.Resultat.J54">#REF!</definedName>
    <definedName name="BvA.Resultat.J56">#REF!</definedName>
    <definedName name="BvA.Resultat.J58">#REF!</definedName>
    <definedName name="BvA.Resultat.J60">#REF!</definedName>
    <definedName name="BvA.Resultat.J62">#REF!</definedName>
    <definedName name="BvA.Resultat.J64">#REF!</definedName>
    <definedName name="BvA.Resultat.J66">#REF!</definedName>
    <definedName name="BvA.Resultat.J68">#REF!</definedName>
    <definedName name="BvA.Resultat.J70">#REF!</definedName>
    <definedName name="BvA.Resultat.J72">#REF!</definedName>
    <definedName name="BvA.Resultat.J74">#REF!</definedName>
    <definedName name="BvA.Resultat.J76">#REF!</definedName>
    <definedName name="BvA.Resultat.J78">#REF!</definedName>
    <definedName name="BvA.Resultat.J80">#REF!</definedName>
    <definedName name="BvA.Resultat.J82">#REF!</definedName>
    <definedName name="BvA.Resultat.J85">#REF!</definedName>
    <definedName name="BvA.Resultat.J87">#REF!</definedName>
    <definedName name="BvA.Resultat.J92">#REF!</definedName>
    <definedName name="BvA.Resultat.J94">#REF!</definedName>
    <definedName name="BvA.Resultat.J96">#REF!</definedName>
    <definedName name="BvA.Resultat.J98">#REF!</definedName>
    <definedName name="BvA.Resultat.K10">#REF!</definedName>
    <definedName name="BvA.Resultat.K100">#REF!</definedName>
    <definedName name="BvA.Resultat.K102">#REF!</definedName>
    <definedName name="BvA.Resultat.K104">#REF!</definedName>
    <definedName name="BvA.Resultat.K106">#REF!</definedName>
    <definedName name="BvA.Resultat.K108">#REF!</definedName>
    <definedName name="BvA.Resultat.K110">#REF!</definedName>
    <definedName name="BvA.Resultat.K112">#REF!</definedName>
    <definedName name="BvA.Resultat.K114">#REF!</definedName>
    <definedName name="BvA.Resultat.K116">#REF!</definedName>
    <definedName name="BvA.Resultat.K118">#REF!</definedName>
    <definedName name="BvA.Resultat.K12">#REF!</definedName>
    <definedName name="BvA.Resultat.K120">#REF!</definedName>
    <definedName name="BvA.Resultat.K122">#REF!</definedName>
    <definedName name="BvA.Resultat.K124">#REF!</definedName>
    <definedName name="BvA.Resultat.K126">#REF!</definedName>
    <definedName name="BvA.Resultat.K128">#REF!</definedName>
    <definedName name="BvA.Resultat.K131">#REF!</definedName>
    <definedName name="BvA.Resultat.K133">#REF!</definedName>
    <definedName name="BvA.Resultat.K135">#REF!</definedName>
    <definedName name="BvA.Resultat.K137">#REF!</definedName>
    <definedName name="BvA.Resultat.K139">#REF!</definedName>
    <definedName name="BvA.Resultat.K14">#REF!</definedName>
    <definedName name="BvA.Resultat.K141">#REF!</definedName>
    <definedName name="BvA.Resultat.K144">#REF!</definedName>
    <definedName name="BvA.Resultat.K146">#REF!</definedName>
    <definedName name="BvA.Resultat.K148">#REF!</definedName>
    <definedName name="BvA.Resultat.K150">#REF!</definedName>
    <definedName name="BvA.Resultat.K152">#REF!</definedName>
    <definedName name="BvA.Resultat.K154">#REF!</definedName>
    <definedName name="BvA.Resultat.K156">#REF!</definedName>
    <definedName name="BvA.Resultat.K158">#REF!</definedName>
    <definedName name="BvA.Resultat.K16">#REF!</definedName>
    <definedName name="BvA.Resultat.K160">#REF!</definedName>
    <definedName name="BvA.Resultat.K162">#REF!</definedName>
    <definedName name="BvA.Resultat.K164">#REF!</definedName>
    <definedName name="BvA.Resultat.K167">#REF!</definedName>
    <definedName name="BvA.Resultat.K169">#REF!</definedName>
    <definedName name="BvA.Resultat.K171">#REF!</definedName>
    <definedName name="BvA.Resultat.K173">#REF!</definedName>
    <definedName name="BvA.Resultat.K175">#REF!</definedName>
    <definedName name="BvA.Resultat.K177">#REF!</definedName>
    <definedName name="BvA.Resultat.K179">#REF!</definedName>
    <definedName name="BvA.Resultat.K18">#REF!</definedName>
    <definedName name="BvA.Resultat.K181">#REF!</definedName>
    <definedName name="BvA.Resultat.K183">#REF!</definedName>
    <definedName name="BvA.Resultat.K186">#REF!</definedName>
    <definedName name="BvA.Resultat.K188">#REF!</definedName>
    <definedName name="BvA.Resultat.K190">#REF!</definedName>
    <definedName name="BvA.Resultat.K192">#REF!</definedName>
    <definedName name="BvA.Resultat.K20">#REF!</definedName>
    <definedName name="BvA.Resultat.K22">#REF!</definedName>
    <definedName name="BvA.Resultat.K24">#REF!</definedName>
    <definedName name="BvA.Resultat.K26">#REF!</definedName>
    <definedName name="BvA.Resultat.K28">#REF!</definedName>
    <definedName name="BvA.Resultat.K30">#REF!</definedName>
    <definedName name="BvA.Resultat.K32">#REF!</definedName>
    <definedName name="BvA.Resultat.K34">#REF!</definedName>
    <definedName name="BvA.Resultat.K36">#REF!</definedName>
    <definedName name="BvA.Resultat.K42">#REF!</definedName>
    <definedName name="BvA.Resultat.K44">#REF!</definedName>
    <definedName name="BvA.Resultat.K46">#REF!</definedName>
    <definedName name="BvA.Resultat.K48">#REF!</definedName>
    <definedName name="BvA.Resultat.K50">#REF!</definedName>
    <definedName name="BvA.Resultat.K52">#REF!</definedName>
    <definedName name="BvA.Resultat.K54">#REF!</definedName>
    <definedName name="BvA.Resultat.K56">#REF!</definedName>
    <definedName name="BvA.Resultat.K58">#REF!</definedName>
    <definedName name="BvA.Resultat.K60">#REF!</definedName>
    <definedName name="BvA.Resultat.K62">#REF!</definedName>
    <definedName name="BvA.Resultat.K64">#REF!</definedName>
    <definedName name="BvA.Resultat.K66">#REF!</definedName>
    <definedName name="BvA.Resultat.K68">#REF!</definedName>
    <definedName name="BvA.Resultat.K70">#REF!</definedName>
    <definedName name="BvA.Resultat.K72">#REF!</definedName>
    <definedName name="BvA.Resultat.K74">#REF!</definedName>
    <definedName name="BvA.Resultat.K76">#REF!</definedName>
    <definedName name="BvA.Resultat.K78">#REF!</definedName>
    <definedName name="BvA.Resultat.K80">#REF!</definedName>
    <definedName name="BvA.Resultat.K82">#REF!</definedName>
    <definedName name="BvA.Resultat.K85">#REF!</definedName>
    <definedName name="BvA.Resultat.K87">#REF!</definedName>
    <definedName name="BvA.Resultat.K92">#REF!</definedName>
    <definedName name="BvA.Resultat.K94">#REF!</definedName>
    <definedName name="BvA.Resultat.K96">#REF!</definedName>
    <definedName name="BvA.Resultat.K98">#REF!</definedName>
    <definedName name="BvA.Resultat.N10">#REF!</definedName>
    <definedName name="BvA.Resultat.N100">#REF!</definedName>
    <definedName name="BvA.Resultat.N102">#REF!</definedName>
    <definedName name="BvA.Resultat.N104">#REF!</definedName>
    <definedName name="BvA.Resultat.N106">#REF!</definedName>
    <definedName name="BvA.Resultat.N108">#REF!</definedName>
    <definedName name="BvA.Resultat.N110">#REF!</definedName>
    <definedName name="BvA.Resultat.N112">#REF!</definedName>
    <definedName name="BvA.Resultat.N114">#REF!</definedName>
    <definedName name="BvA.Resultat.N116">#REF!</definedName>
    <definedName name="BvA.Resultat.N118">#REF!</definedName>
    <definedName name="BvA.Resultat.N12">#REF!</definedName>
    <definedName name="BvA.Resultat.N120">#REF!</definedName>
    <definedName name="BvA.Resultat.N122">#REF!</definedName>
    <definedName name="BvA.Resultat.N124">#REF!</definedName>
    <definedName name="BvA.Resultat.N126">#REF!</definedName>
    <definedName name="BvA.Resultat.N128">#REF!</definedName>
    <definedName name="BvA.Resultat.N131">#REF!</definedName>
    <definedName name="BvA.Resultat.N133">#REF!</definedName>
    <definedName name="BvA.Resultat.N135">#REF!</definedName>
    <definedName name="BvA.Resultat.N137">#REF!</definedName>
    <definedName name="BvA.Resultat.N139">#REF!</definedName>
    <definedName name="BvA.Resultat.N14">#REF!</definedName>
    <definedName name="BvA.Resultat.N141">#REF!</definedName>
    <definedName name="BvA.Resultat.N144">#REF!</definedName>
    <definedName name="BvA.Resultat.N146">#REF!</definedName>
    <definedName name="BvA.Resultat.N148">#REF!</definedName>
    <definedName name="BvA.Resultat.N150">#REF!</definedName>
    <definedName name="BvA.Resultat.N152">#REF!</definedName>
    <definedName name="BvA.Resultat.N154">#REF!</definedName>
    <definedName name="BvA.Resultat.N156">#REF!</definedName>
    <definedName name="BvA.Resultat.N158">#REF!</definedName>
    <definedName name="BvA.Resultat.N16">#REF!</definedName>
    <definedName name="BvA.Resultat.N160">#REF!</definedName>
    <definedName name="BvA.Resultat.N162">#REF!</definedName>
    <definedName name="BvA.Resultat.N164">#REF!</definedName>
    <definedName name="BvA.Resultat.N167">#REF!</definedName>
    <definedName name="BvA.Resultat.N169">#REF!</definedName>
    <definedName name="BvA.Resultat.N171">#REF!</definedName>
    <definedName name="BvA.Resultat.N173">#REF!</definedName>
    <definedName name="BvA.Resultat.N175">#REF!</definedName>
    <definedName name="BvA.Resultat.N177">#REF!</definedName>
    <definedName name="BvA.Resultat.N179">#REF!</definedName>
    <definedName name="BvA.Resultat.N18">#REF!</definedName>
    <definedName name="BvA.Resultat.N181">#REF!</definedName>
    <definedName name="BvA.Resultat.N183">#REF!</definedName>
    <definedName name="BvA.Resultat.N186">#REF!</definedName>
    <definedName name="BvA.Resultat.N188">#REF!</definedName>
    <definedName name="BvA.Resultat.N190">#REF!</definedName>
    <definedName name="BvA.Resultat.N192">#REF!</definedName>
    <definedName name="BvA.Resultat.N195">#REF!</definedName>
    <definedName name="BvA.Resultat.N20">#REF!</definedName>
    <definedName name="BvA.Resultat.N22">#REF!</definedName>
    <definedName name="BvA.Resultat.N24">#REF!</definedName>
    <definedName name="BvA.Resultat.N26">#REF!</definedName>
    <definedName name="BvA.Resultat.N28">#REF!</definedName>
    <definedName name="BvA.Resultat.N30">#REF!</definedName>
    <definedName name="BvA.Resultat.N32">#REF!</definedName>
    <definedName name="BvA.Resultat.N34">#REF!</definedName>
    <definedName name="BvA.Resultat.N36">#REF!</definedName>
    <definedName name="BvA.Resultat.N42">#REF!</definedName>
    <definedName name="BvA.Resultat.N44">#REF!</definedName>
    <definedName name="BvA.Resultat.N46">#REF!</definedName>
    <definedName name="BvA.Resultat.N48">#REF!</definedName>
    <definedName name="BvA.Resultat.N50">#REF!</definedName>
    <definedName name="BvA.Resultat.N52">#REF!</definedName>
    <definedName name="BvA.Resultat.N54">#REF!</definedName>
    <definedName name="BvA.Resultat.N56">#REF!</definedName>
    <definedName name="BvA.Resultat.N58">#REF!</definedName>
    <definedName name="BvA.Resultat.N60">#REF!</definedName>
    <definedName name="BvA.Resultat.N62">#REF!</definedName>
    <definedName name="BvA.Resultat.N64">#REF!</definedName>
    <definedName name="BvA.Resultat.N66">#REF!</definedName>
    <definedName name="BvA.Resultat.N68">#REF!</definedName>
    <definedName name="BvA.Resultat.N70">#REF!</definedName>
    <definedName name="BvA.Resultat.N72">#REF!</definedName>
    <definedName name="BvA.Resultat.N74">#REF!</definedName>
    <definedName name="BvA.Resultat.N76">#REF!</definedName>
    <definedName name="BvA.Resultat.N78">#REF!</definedName>
    <definedName name="BvA.Resultat.N80">#REF!</definedName>
    <definedName name="BvA.Resultat.N82">#REF!</definedName>
    <definedName name="BvA.Resultat.N85">#REF!</definedName>
    <definedName name="BvA.Resultat.N87">#REF!</definedName>
    <definedName name="BvA.Resultat.N92">#REF!</definedName>
    <definedName name="BvA.Resultat.N94">#REF!</definedName>
    <definedName name="BvA.Resultat.N96">#REF!</definedName>
    <definedName name="BvA.Resultat.N98">#REF!</definedName>
    <definedName name="BvA.Resultat.O10">#REF!</definedName>
    <definedName name="BvA.Resultat.O100">#REF!</definedName>
    <definedName name="BvA.Resultat.O102">#REF!</definedName>
    <definedName name="BvA.Resultat.O104">#REF!</definedName>
    <definedName name="BvA.Resultat.O106">#REF!</definedName>
    <definedName name="BvA.Resultat.O108">#REF!</definedName>
    <definedName name="BvA.Resultat.O110">#REF!</definedName>
    <definedName name="BvA.Resultat.O112">#REF!</definedName>
    <definedName name="BvA.Resultat.O114">#REF!</definedName>
    <definedName name="BvA.Resultat.O116">#REF!</definedName>
    <definedName name="BvA.Resultat.O118">#REF!</definedName>
    <definedName name="BvA.Resultat.O12">#REF!</definedName>
    <definedName name="BvA.Resultat.O120">#REF!</definedName>
    <definedName name="BvA.Resultat.O122">#REF!</definedName>
    <definedName name="BvA.Resultat.O124">#REF!</definedName>
    <definedName name="BvA.Resultat.O126">#REF!</definedName>
    <definedName name="BvA.Resultat.O128">#REF!</definedName>
    <definedName name="BvA.Resultat.O131">#REF!</definedName>
    <definedName name="BvA.Resultat.O133">#REF!</definedName>
    <definedName name="BvA.Resultat.O135">#REF!</definedName>
    <definedName name="BvA.Resultat.O137">#REF!</definedName>
    <definedName name="BvA.Resultat.O139">#REF!</definedName>
    <definedName name="BvA.Resultat.O14">#REF!</definedName>
    <definedName name="BvA.Resultat.O141">#REF!</definedName>
    <definedName name="BvA.Resultat.O144">#REF!</definedName>
    <definedName name="BvA.Resultat.O146">#REF!</definedName>
    <definedName name="BvA.Resultat.O148">#REF!</definedName>
    <definedName name="BvA.Resultat.O150">#REF!</definedName>
    <definedName name="BvA.Resultat.O152">#REF!</definedName>
    <definedName name="BvA.Resultat.O154">#REF!</definedName>
    <definedName name="BvA.Resultat.O156">#REF!</definedName>
    <definedName name="BvA.Resultat.O158">#REF!</definedName>
    <definedName name="BvA.Resultat.O16">#REF!</definedName>
    <definedName name="BvA.Resultat.O160">#REF!</definedName>
    <definedName name="BvA.Resultat.O162">#REF!</definedName>
    <definedName name="BvA.Resultat.O164">#REF!</definedName>
    <definedName name="BvA.Resultat.O167">#REF!</definedName>
    <definedName name="BvA.Resultat.O169">#REF!</definedName>
    <definedName name="BvA.Resultat.O171">#REF!</definedName>
    <definedName name="BvA.Resultat.O173">#REF!</definedName>
    <definedName name="BvA.Resultat.O175">#REF!</definedName>
    <definedName name="BvA.Resultat.O177">#REF!</definedName>
    <definedName name="BvA.Resultat.O179">#REF!</definedName>
    <definedName name="BvA.Resultat.O18">#REF!</definedName>
    <definedName name="BvA.Resultat.O181">#REF!</definedName>
    <definedName name="BvA.Resultat.O183">#REF!</definedName>
    <definedName name="BvA.Resultat.O186">#REF!</definedName>
    <definedName name="BvA.Resultat.O188">#REF!</definedName>
    <definedName name="BvA.Resultat.O190">#REF!</definedName>
    <definedName name="BvA.Resultat.O192">#REF!</definedName>
    <definedName name="BvA.Resultat.O195">#REF!</definedName>
    <definedName name="BvA.Resultat.O20">#REF!</definedName>
    <definedName name="BvA.Resultat.O22">#REF!</definedName>
    <definedName name="BvA.Resultat.O24">#REF!</definedName>
    <definedName name="BvA.Resultat.O26">#REF!</definedName>
    <definedName name="BvA.Resultat.O28">#REF!</definedName>
    <definedName name="BvA.Resultat.O30">#REF!</definedName>
    <definedName name="BvA.Resultat.O32">#REF!</definedName>
    <definedName name="BvA.Resultat.O34">#REF!</definedName>
    <definedName name="BvA.Resultat.O36">#REF!</definedName>
    <definedName name="BvA.Resultat.O42">#REF!</definedName>
    <definedName name="BvA.Resultat.O44">#REF!</definedName>
    <definedName name="BvA.Resultat.O46">#REF!</definedName>
    <definedName name="BvA.Resultat.O48">#REF!</definedName>
    <definedName name="BvA.Resultat.O50">#REF!</definedName>
    <definedName name="BvA.Resultat.O52">#REF!</definedName>
    <definedName name="BvA.Resultat.O54">#REF!</definedName>
    <definedName name="BvA.Resultat.O56">#REF!</definedName>
    <definedName name="BvA.Resultat.O58">#REF!</definedName>
    <definedName name="BvA.Resultat.O60">#REF!</definedName>
    <definedName name="BvA.Resultat.O62">#REF!</definedName>
    <definedName name="BvA.Resultat.O64">#REF!</definedName>
    <definedName name="BvA.Resultat.O66">#REF!</definedName>
    <definedName name="BvA.Resultat.O68">#REF!</definedName>
    <definedName name="BvA.Resultat.O70">#REF!</definedName>
    <definedName name="BvA.Resultat.O72">#REF!</definedName>
    <definedName name="BvA.Resultat.O74">#REF!</definedName>
    <definedName name="BvA.Resultat.O76">#REF!</definedName>
    <definedName name="BvA.Resultat.O78">#REF!</definedName>
    <definedName name="BvA.Resultat.O80">#REF!</definedName>
    <definedName name="BvA.Resultat.O82">#REF!</definedName>
    <definedName name="BvA.Resultat.O85">#REF!</definedName>
    <definedName name="BvA.Resultat.O87">#REF!</definedName>
    <definedName name="BvA.Resultat.O92">#REF!</definedName>
    <definedName name="BvA.Resultat.O94">#REF!</definedName>
    <definedName name="BvA.Resultat.O96">#REF!</definedName>
    <definedName name="BvA.Resultat.O98">#REF!</definedName>
    <definedName name="BvA.Resultat.P10">#REF!</definedName>
    <definedName name="BvA.Resultat.P100">#REF!</definedName>
    <definedName name="BvA.Resultat.P102">#REF!</definedName>
    <definedName name="BvA.Resultat.P104">#REF!</definedName>
    <definedName name="BvA.Resultat.P106">#REF!</definedName>
    <definedName name="BvA.Resultat.P108">#REF!</definedName>
    <definedName name="BvA.Resultat.P110">#REF!</definedName>
    <definedName name="BvA.Resultat.P112">#REF!</definedName>
    <definedName name="BvA.Resultat.P114">#REF!</definedName>
    <definedName name="BvA.Resultat.P116">#REF!</definedName>
    <definedName name="BvA.Resultat.P118">#REF!</definedName>
    <definedName name="BvA.Resultat.P12">#REF!</definedName>
    <definedName name="BvA.Resultat.P120">#REF!</definedName>
    <definedName name="BvA.Resultat.P122">#REF!</definedName>
    <definedName name="BvA.Resultat.P124">#REF!</definedName>
    <definedName name="BvA.Resultat.P126">#REF!</definedName>
    <definedName name="BvA.Resultat.P128">#REF!</definedName>
    <definedName name="BvA.Resultat.P131">#REF!</definedName>
    <definedName name="BvA.Resultat.P133">#REF!</definedName>
    <definedName name="BvA.Resultat.P135">#REF!</definedName>
    <definedName name="BvA.Resultat.P137">#REF!</definedName>
    <definedName name="BvA.Resultat.P139">#REF!</definedName>
    <definedName name="BvA.Resultat.P14">#REF!</definedName>
    <definedName name="BvA.Resultat.P141">#REF!</definedName>
    <definedName name="BvA.Resultat.P144">#REF!</definedName>
    <definedName name="BvA.Resultat.P146">#REF!</definedName>
    <definedName name="BvA.Resultat.P148">#REF!</definedName>
    <definedName name="BvA.Resultat.P150">#REF!</definedName>
    <definedName name="BvA.Resultat.P152">#REF!</definedName>
    <definedName name="BvA.Resultat.P154">#REF!</definedName>
    <definedName name="BvA.Resultat.P156">#REF!</definedName>
    <definedName name="BvA.Resultat.P158">#REF!</definedName>
    <definedName name="BvA.Resultat.P16">#REF!</definedName>
    <definedName name="BvA.Resultat.P160">#REF!</definedName>
    <definedName name="BvA.Resultat.P162">#REF!</definedName>
    <definedName name="BvA.Resultat.P164">#REF!</definedName>
    <definedName name="BvA.Resultat.P167">#REF!</definedName>
    <definedName name="BvA.Resultat.P169">#REF!</definedName>
    <definedName name="BvA.Resultat.P171">#REF!</definedName>
    <definedName name="BvA.Resultat.P173">#REF!</definedName>
    <definedName name="BvA.Resultat.P175">#REF!</definedName>
    <definedName name="BvA.Resultat.P177">#REF!</definedName>
    <definedName name="BvA.Resultat.P179">#REF!</definedName>
    <definedName name="BvA.Resultat.P18">#REF!</definedName>
    <definedName name="BvA.Resultat.P181">#REF!</definedName>
    <definedName name="BvA.Resultat.P183">#REF!</definedName>
    <definedName name="BvA.Resultat.P186">#REF!</definedName>
    <definedName name="BvA.Resultat.P188">#REF!</definedName>
    <definedName name="BvA.Resultat.P190">#REF!</definedName>
    <definedName name="BvA.Resultat.P192">#REF!</definedName>
    <definedName name="BvA.Resultat.P20">#REF!</definedName>
    <definedName name="BvA.Resultat.P22">#REF!</definedName>
    <definedName name="BvA.Resultat.P24">#REF!</definedName>
    <definedName name="BvA.Resultat.P26">#REF!</definedName>
    <definedName name="BvA.Resultat.P28">#REF!</definedName>
    <definedName name="BvA.Resultat.P30">#REF!</definedName>
    <definedName name="BvA.Resultat.P32">#REF!</definedName>
    <definedName name="BvA.Resultat.P34">#REF!</definedName>
    <definedName name="BvA.Resultat.P36">#REF!</definedName>
    <definedName name="BvA.Resultat.P42">#REF!</definedName>
    <definedName name="BvA.Resultat.P44">#REF!</definedName>
    <definedName name="BvA.Resultat.P46">#REF!</definedName>
    <definedName name="BvA.Resultat.P48">#REF!</definedName>
    <definedName name="BvA.Resultat.P50">#REF!</definedName>
    <definedName name="BvA.Resultat.P52">#REF!</definedName>
    <definedName name="BvA.Resultat.P54">#REF!</definedName>
    <definedName name="BvA.Resultat.P56">#REF!</definedName>
    <definedName name="BvA.Resultat.P58">#REF!</definedName>
    <definedName name="BvA.Resultat.P60">#REF!</definedName>
    <definedName name="BvA.Resultat.P62">#REF!</definedName>
    <definedName name="BvA.Resultat.P64">#REF!</definedName>
    <definedName name="BvA.Resultat.P66">#REF!</definedName>
    <definedName name="BvA.Resultat.P68">#REF!</definedName>
    <definedName name="BvA.Resultat.P70">#REF!</definedName>
    <definedName name="BvA.Resultat.P72">#REF!</definedName>
    <definedName name="BvA.Resultat.P74">#REF!</definedName>
    <definedName name="BvA.Resultat.P76">#REF!</definedName>
    <definedName name="BvA.Resultat.P78">#REF!</definedName>
    <definedName name="BvA.Resultat.P80">#REF!</definedName>
    <definedName name="BvA.Resultat.P82">#REF!</definedName>
    <definedName name="BvA.Resultat.P85">#REF!</definedName>
    <definedName name="BvA.Resultat.P87">#REF!</definedName>
    <definedName name="BvA.Resultat.P92">#REF!</definedName>
    <definedName name="BvA.Resultat.P94">#REF!</definedName>
    <definedName name="BvA.Resultat.P96">#REF!</definedName>
    <definedName name="BvA.Resultat.P98">#REF!</definedName>
    <definedName name="BvA.Resultat.Q10">#REF!</definedName>
    <definedName name="BvA.Resultat.Q100">#REF!</definedName>
    <definedName name="BvA.Resultat.Q102">#REF!</definedName>
    <definedName name="BvA.Resultat.Q104">#REF!</definedName>
    <definedName name="BvA.Resultat.Q106">#REF!</definedName>
    <definedName name="BvA.Resultat.Q108">#REF!</definedName>
    <definedName name="BvA.Resultat.Q110">#REF!</definedName>
    <definedName name="BvA.Resultat.Q112">#REF!</definedName>
    <definedName name="BvA.Resultat.Q114">#REF!</definedName>
    <definedName name="BvA.Resultat.Q116">#REF!</definedName>
    <definedName name="BvA.Resultat.Q118">#REF!</definedName>
    <definedName name="BvA.Resultat.Q12">#REF!</definedName>
    <definedName name="BvA.Resultat.Q120">#REF!</definedName>
    <definedName name="BvA.Resultat.Q122">#REF!</definedName>
    <definedName name="BvA.Resultat.Q124">#REF!</definedName>
    <definedName name="BvA.Resultat.Q126">#REF!</definedName>
    <definedName name="BvA.Resultat.Q128">#REF!</definedName>
    <definedName name="BvA.Resultat.Q131">#REF!</definedName>
    <definedName name="BvA.Resultat.Q133">#REF!</definedName>
    <definedName name="BvA.Resultat.Q135">#REF!</definedName>
    <definedName name="BvA.Resultat.Q137">#REF!</definedName>
    <definedName name="BvA.Resultat.Q139">#REF!</definedName>
    <definedName name="BvA.Resultat.Q14">#REF!</definedName>
    <definedName name="BvA.Resultat.Q141">#REF!</definedName>
    <definedName name="BvA.Resultat.Q144">#REF!</definedName>
    <definedName name="BvA.Resultat.Q146">#REF!</definedName>
    <definedName name="BvA.Resultat.Q148">#REF!</definedName>
    <definedName name="BvA.Resultat.Q150">#REF!</definedName>
    <definedName name="BvA.Resultat.Q152">#REF!</definedName>
    <definedName name="BvA.Resultat.Q154">#REF!</definedName>
    <definedName name="BvA.Resultat.Q156">#REF!</definedName>
    <definedName name="BvA.Resultat.Q158">#REF!</definedName>
    <definedName name="BvA.Resultat.Q16">#REF!</definedName>
    <definedName name="BvA.Resultat.Q160">#REF!</definedName>
    <definedName name="BvA.Resultat.Q162">#REF!</definedName>
    <definedName name="BvA.Resultat.Q164">#REF!</definedName>
    <definedName name="BvA.Resultat.Q167">#REF!</definedName>
    <definedName name="BvA.Resultat.Q169">#REF!</definedName>
    <definedName name="BvA.Resultat.Q171">#REF!</definedName>
    <definedName name="BvA.Resultat.Q173">#REF!</definedName>
    <definedName name="BvA.Resultat.Q175">#REF!</definedName>
    <definedName name="BvA.Resultat.Q177">#REF!</definedName>
    <definedName name="BvA.Resultat.Q179">#REF!</definedName>
    <definedName name="BvA.Resultat.Q18">#REF!</definedName>
    <definedName name="BvA.Resultat.Q181">#REF!</definedName>
    <definedName name="BvA.Resultat.Q183">#REF!</definedName>
    <definedName name="BvA.Resultat.Q186">#REF!</definedName>
    <definedName name="BvA.Resultat.Q188">#REF!</definedName>
    <definedName name="BvA.Resultat.Q190">#REF!</definedName>
    <definedName name="BvA.Resultat.Q192">#REF!</definedName>
    <definedName name="BvA.Resultat.Q20">#REF!</definedName>
    <definedName name="BvA.Resultat.Q22">#REF!</definedName>
    <definedName name="BvA.Resultat.Q24">#REF!</definedName>
    <definedName name="BvA.Resultat.Q26">#REF!</definedName>
    <definedName name="BvA.Resultat.Q28">#REF!</definedName>
    <definedName name="BvA.Resultat.Q30">#REF!</definedName>
    <definedName name="BvA.Resultat.Q32">#REF!</definedName>
    <definedName name="BvA.Resultat.Q34">#REF!</definedName>
    <definedName name="BvA.Resultat.Q36">#REF!</definedName>
    <definedName name="BvA.Resultat.Q42">#REF!</definedName>
    <definedName name="BvA.Resultat.Q44">#REF!</definedName>
    <definedName name="BvA.Resultat.Q46">#REF!</definedName>
    <definedName name="BvA.Resultat.Q48">#REF!</definedName>
    <definedName name="BvA.Resultat.Q50">#REF!</definedName>
    <definedName name="BvA.Resultat.Q52">#REF!</definedName>
    <definedName name="BvA.Resultat.Q54">#REF!</definedName>
    <definedName name="BvA.Resultat.Q56">#REF!</definedName>
    <definedName name="BvA.Resultat.Q58">#REF!</definedName>
    <definedName name="BvA.Resultat.Q60">#REF!</definedName>
    <definedName name="BvA.Resultat.Q62">#REF!</definedName>
    <definedName name="BvA.Resultat.Q64">#REF!</definedName>
    <definedName name="BvA.Resultat.Q66">#REF!</definedName>
    <definedName name="BvA.Resultat.Q68">#REF!</definedName>
    <definedName name="BvA.Resultat.Q70">#REF!</definedName>
    <definedName name="BvA.Resultat.Q72">#REF!</definedName>
    <definedName name="BvA.Resultat.Q74">#REF!</definedName>
    <definedName name="BvA.Resultat.Q76">#REF!</definedName>
    <definedName name="BvA.Resultat.Q78">#REF!</definedName>
    <definedName name="BvA.Resultat.Q80">#REF!</definedName>
    <definedName name="BvA.Resultat.Q82">#REF!</definedName>
    <definedName name="BvA.Resultat.Q85">#REF!</definedName>
    <definedName name="BvA.Resultat.Q87">#REF!</definedName>
    <definedName name="BvA.Resultat.Q92">#REF!</definedName>
    <definedName name="BvA.Resultat.Q94">#REF!</definedName>
    <definedName name="BvA.Resultat.Q96">#REF!</definedName>
    <definedName name="BvA.Resultat.Q98">#REF!</definedName>
    <definedName name="BvABreakdown.Resultat.B10">#REF!</definedName>
    <definedName name="BvABreakdown.Resultat.B100">#REF!</definedName>
    <definedName name="BvABreakdown.Resultat.B102">#REF!</definedName>
    <definedName name="BvABreakdown.Resultat.B104">#REF!</definedName>
    <definedName name="BvABreakdown.Resultat.B106">#REF!</definedName>
    <definedName name="BvABreakdown.Resultat.B108">#REF!</definedName>
    <definedName name="BvABreakdown.Resultat.B110">#REF!</definedName>
    <definedName name="BvABreakdown.Resultat.B112">#REF!</definedName>
    <definedName name="BvABreakdown.Resultat.B114">#REF!</definedName>
    <definedName name="BvABreakdown.Resultat.B116">#REF!</definedName>
    <definedName name="BvABreakdown.Resultat.B118">#REF!</definedName>
    <definedName name="BvABreakdown.Resultat.B12">#REF!</definedName>
    <definedName name="BvABreakdown.Resultat.B120">#REF!</definedName>
    <definedName name="BvABreakdown.Resultat.B122">#REF!</definedName>
    <definedName name="BvABreakdown.Resultat.B124">#REF!</definedName>
    <definedName name="BvABreakdown.Resultat.B126">#REF!</definedName>
    <definedName name="BvABreakdown.Resultat.B128">#REF!</definedName>
    <definedName name="BvABreakdown.Resultat.B131">#REF!</definedName>
    <definedName name="BvABreakdown.Resultat.B133">#REF!</definedName>
    <definedName name="BvABreakdown.Resultat.B135">#REF!</definedName>
    <definedName name="BvABreakdown.Resultat.B137">#REF!</definedName>
    <definedName name="BvABreakdown.Resultat.B139">#REF!</definedName>
    <definedName name="BvABreakdown.Resultat.B14">#REF!</definedName>
    <definedName name="BvABreakdown.Resultat.B141">#REF!</definedName>
    <definedName name="BvABreakdown.Resultat.B144">#REF!</definedName>
    <definedName name="BvABreakdown.Resultat.B146">#REF!</definedName>
    <definedName name="BvABreakdown.Resultat.B148">#REF!</definedName>
    <definedName name="BvABreakdown.Resultat.B150">#REF!</definedName>
    <definedName name="BvABreakdown.Resultat.B152">#REF!</definedName>
    <definedName name="BvABreakdown.Resultat.B154">#REF!</definedName>
    <definedName name="BvABreakdown.Resultat.B156">#REF!</definedName>
    <definedName name="BvABreakdown.Resultat.B158">#REF!</definedName>
    <definedName name="BvABreakdown.Resultat.B16">#REF!</definedName>
    <definedName name="BvABreakdown.Resultat.B160">#REF!</definedName>
    <definedName name="BvABreakdown.Resultat.B162">#REF!</definedName>
    <definedName name="BvABreakdown.Resultat.B164">#REF!</definedName>
    <definedName name="BvABreakdown.Resultat.B167">#REF!</definedName>
    <definedName name="BvABreakdown.Resultat.B169">#REF!</definedName>
    <definedName name="BvABreakdown.Resultat.B171">#REF!</definedName>
    <definedName name="BvABreakdown.Resultat.B173">#REF!</definedName>
    <definedName name="BvABreakdown.Resultat.B175">#REF!</definedName>
    <definedName name="BvABreakdown.Resultat.B177">#REF!</definedName>
    <definedName name="BvABreakdown.Resultat.B179">#REF!</definedName>
    <definedName name="BvABreakdown.Resultat.B18">#REF!</definedName>
    <definedName name="BvABreakdown.Resultat.B181">#REF!</definedName>
    <definedName name="BvABreakdown.Resultat.B183">#REF!</definedName>
    <definedName name="BvABreakdown.Resultat.B186">#REF!</definedName>
    <definedName name="BvABreakdown.Resultat.B188">#REF!</definedName>
    <definedName name="BvABreakdown.Resultat.B190">#REF!</definedName>
    <definedName name="BvABreakdown.Resultat.B192">#REF!</definedName>
    <definedName name="BvABreakdown.Resultat.B195">#REF!</definedName>
    <definedName name="BvABreakdown.Resultat.B197">#REF!</definedName>
    <definedName name="BvABreakdown.Resultat.B2">#REF!</definedName>
    <definedName name="BvABreakdown.Resultat.B20">#REF!</definedName>
    <definedName name="BvABreakdown.Resultat.B22">#REF!</definedName>
    <definedName name="BvABreakdown.Resultat.B24">#REF!</definedName>
    <definedName name="BvABreakdown.Resultat.B26">#REF!</definedName>
    <definedName name="BvABreakdown.Resultat.B28">#REF!</definedName>
    <definedName name="BvABreakdown.Resultat.B30">#REF!</definedName>
    <definedName name="BvABreakdown.Resultat.B32">#REF!</definedName>
    <definedName name="BvABreakdown.Resultat.B34">#REF!</definedName>
    <definedName name="BvABreakdown.Resultat.B36">#REF!</definedName>
    <definedName name="BvABreakdown.Resultat.B42">#REF!</definedName>
    <definedName name="BvABreakdown.Resultat.B44">#REF!</definedName>
    <definedName name="BvABreakdown.Resultat.B46">#REF!</definedName>
    <definedName name="BvABreakdown.Resultat.B48">#REF!</definedName>
    <definedName name="BvABreakdown.Resultat.B50">#REF!</definedName>
    <definedName name="BvABreakdown.Resultat.B52">#REF!</definedName>
    <definedName name="BvABreakdown.Resultat.B54">#REF!</definedName>
    <definedName name="BvABreakdown.Resultat.B56">#REF!</definedName>
    <definedName name="BvABreakdown.Resultat.B58">#REF!</definedName>
    <definedName name="BvABreakdown.Resultat.B60">#REF!</definedName>
    <definedName name="BvABreakdown.Resultat.B62">#REF!</definedName>
    <definedName name="BvABreakdown.Resultat.B64">#REF!</definedName>
    <definedName name="BvABreakdown.Resultat.B66">#REF!</definedName>
    <definedName name="BvABreakdown.Resultat.B68">#REF!</definedName>
    <definedName name="BvABreakdown.Resultat.B70">#REF!</definedName>
    <definedName name="BvABreakdown.Resultat.B72">#REF!</definedName>
    <definedName name="BvABreakdown.Resultat.B74">#REF!</definedName>
    <definedName name="BvABreakdown.Resultat.B76">#REF!</definedName>
    <definedName name="BvABreakdown.Resultat.B78">#REF!</definedName>
    <definedName name="BvABreakdown.Resultat.B80">#REF!</definedName>
    <definedName name="BvABreakdown.Resultat.B82">#REF!</definedName>
    <definedName name="BvABreakdown.Resultat.B85">#REF!</definedName>
    <definedName name="BvABreakdown.Resultat.B87">#REF!</definedName>
    <definedName name="BvABreakdown.Resultat.B92">#REF!</definedName>
    <definedName name="BvABreakdown.Resultat.B94">#REF!</definedName>
    <definedName name="BvABreakdown.Resultat.B96">#REF!</definedName>
    <definedName name="BvABreakdown.Resultat.B98">#REF!</definedName>
    <definedName name="BvABreakdown.Resultat.C10">#REF!</definedName>
    <definedName name="BvABreakdown.Resultat.C100">#REF!</definedName>
    <definedName name="BvABreakdown.Resultat.C102">#REF!</definedName>
    <definedName name="BvABreakdown.Resultat.C104">#REF!</definedName>
    <definedName name="BvABreakdown.Resultat.C106">#REF!</definedName>
    <definedName name="BvABreakdown.Resultat.C108">#REF!</definedName>
    <definedName name="BvABreakdown.Resultat.C110">#REF!</definedName>
    <definedName name="BvABreakdown.Resultat.C112">#REF!</definedName>
    <definedName name="BvABreakdown.Resultat.C114">#REF!</definedName>
    <definedName name="BvABreakdown.Resultat.C116">#REF!</definedName>
    <definedName name="BvABreakdown.Resultat.C118">#REF!</definedName>
    <definedName name="BvABreakdown.Resultat.C12">#REF!</definedName>
    <definedName name="BvABreakdown.Resultat.C120">#REF!</definedName>
    <definedName name="BvABreakdown.Resultat.C122">#REF!</definedName>
    <definedName name="BvABreakdown.Resultat.C124">#REF!</definedName>
    <definedName name="BvABreakdown.Resultat.C126">#REF!</definedName>
    <definedName name="BvABreakdown.Resultat.C128">#REF!</definedName>
    <definedName name="BvABreakdown.Resultat.C131">#REF!</definedName>
    <definedName name="BvABreakdown.Resultat.C133">#REF!</definedName>
    <definedName name="BvABreakdown.Resultat.C135">#REF!</definedName>
    <definedName name="BvABreakdown.Resultat.C137">#REF!</definedName>
    <definedName name="BvABreakdown.Resultat.C139">#REF!</definedName>
    <definedName name="BvABreakdown.Resultat.C14">#REF!</definedName>
    <definedName name="BvABreakdown.Resultat.C141">#REF!</definedName>
    <definedName name="BvABreakdown.Resultat.C144">#REF!</definedName>
    <definedName name="BvABreakdown.Resultat.C146">#REF!</definedName>
    <definedName name="BvABreakdown.Resultat.C148">#REF!</definedName>
    <definedName name="BvABreakdown.Resultat.C150">#REF!</definedName>
    <definedName name="BvABreakdown.Resultat.C152">#REF!</definedName>
    <definedName name="BvABreakdown.Resultat.C154">#REF!</definedName>
    <definedName name="BvABreakdown.Resultat.C156">#REF!</definedName>
    <definedName name="BvABreakdown.Resultat.C158">#REF!</definedName>
    <definedName name="BvABreakdown.Resultat.C16">#REF!</definedName>
    <definedName name="BvABreakdown.Resultat.C160">#REF!</definedName>
    <definedName name="BvABreakdown.Resultat.C162">#REF!</definedName>
    <definedName name="BvABreakdown.Resultat.C164">#REF!</definedName>
    <definedName name="BvABreakdown.Resultat.C167">#REF!</definedName>
    <definedName name="BvABreakdown.Resultat.C169">#REF!</definedName>
    <definedName name="BvABreakdown.Resultat.C171">#REF!</definedName>
    <definedName name="BvABreakdown.Resultat.C173">#REF!</definedName>
    <definedName name="BvABreakdown.Resultat.C175">#REF!</definedName>
    <definedName name="BvABreakdown.Resultat.C177">#REF!</definedName>
    <definedName name="BvABreakdown.Resultat.C179">#REF!</definedName>
    <definedName name="BvABreakdown.Resultat.C18">#REF!</definedName>
    <definedName name="BvABreakdown.Resultat.C181">#REF!</definedName>
    <definedName name="BvABreakdown.Resultat.C183">#REF!</definedName>
    <definedName name="BvABreakdown.Resultat.C186">#REF!</definedName>
    <definedName name="BvABreakdown.Resultat.C188">#REF!</definedName>
    <definedName name="BvABreakdown.Resultat.C190">#REF!</definedName>
    <definedName name="BvABreakdown.Resultat.C192">#REF!</definedName>
    <definedName name="BvABreakdown.Resultat.C195">#REF!</definedName>
    <definedName name="BvABreakdown.Resultat.C197">#REF!</definedName>
    <definedName name="BvABreakdown.Resultat.C20">#REF!</definedName>
    <definedName name="BvABreakdown.Resultat.C22">#REF!</definedName>
    <definedName name="BvABreakdown.Resultat.C24">#REF!</definedName>
    <definedName name="BvABreakdown.Resultat.C26">#REF!</definedName>
    <definedName name="BvABreakdown.Resultat.C28">#REF!</definedName>
    <definedName name="BvABreakdown.Resultat.C30">#REF!</definedName>
    <definedName name="BvABreakdown.Resultat.C32">#REF!</definedName>
    <definedName name="BvABreakdown.Resultat.C34">#REF!</definedName>
    <definedName name="BvABreakdown.Resultat.C36">#REF!</definedName>
    <definedName name="BvABreakdown.Resultat.C42">#REF!</definedName>
    <definedName name="BvABreakdown.Resultat.C44">#REF!</definedName>
    <definedName name="BvABreakdown.Resultat.C46">#REF!</definedName>
    <definedName name="BvABreakdown.Resultat.C48">#REF!</definedName>
    <definedName name="BvABreakdown.Resultat.C50">#REF!</definedName>
    <definedName name="BvABreakdown.Resultat.C52">#REF!</definedName>
    <definedName name="BvABreakdown.Resultat.C54">#REF!</definedName>
    <definedName name="BvABreakdown.Resultat.C56">#REF!</definedName>
    <definedName name="BvABreakdown.Resultat.C58">#REF!</definedName>
    <definedName name="BvABreakdown.Resultat.C60">#REF!</definedName>
    <definedName name="BvABreakdown.Resultat.C62">#REF!</definedName>
    <definedName name="BvABreakdown.Resultat.C64">#REF!</definedName>
    <definedName name="BvABreakdown.Resultat.C66">#REF!</definedName>
    <definedName name="BvABreakdown.Resultat.C68">#REF!</definedName>
    <definedName name="BvABreakdown.Resultat.C70">#REF!</definedName>
    <definedName name="BvABreakdown.Resultat.C72">#REF!</definedName>
    <definedName name="BvABreakdown.Resultat.C74">#REF!</definedName>
    <definedName name="BvABreakdown.Resultat.C76">#REF!</definedName>
    <definedName name="BvABreakdown.Resultat.C78">#REF!</definedName>
    <definedName name="BvABreakdown.Resultat.C80">#REF!</definedName>
    <definedName name="BvABreakdown.Resultat.C82">#REF!</definedName>
    <definedName name="BvABreakdown.Resultat.C85">#REF!</definedName>
    <definedName name="BvABreakdown.Resultat.C87">#REF!</definedName>
    <definedName name="BvABreakdown.Resultat.C92">#REF!</definedName>
    <definedName name="BvABreakdown.Resultat.C94">#REF!</definedName>
    <definedName name="BvABreakdown.Resultat.C96">#REF!</definedName>
    <definedName name="BvABreakdown.Resultat.C98">#REF!</definedName>
    <definedName name="BvABreakdown.Resultat.D10">#REF!</definedName>
    <definedName name="BvABreakdown.Resultat.D100">#REF!</definedName>
    <definedName name="BvABreakdown.Resultat.D102">#REF!</definedName>
    <definedName name="BvABreakdown.Resultat.D104">#REF!</definedName>
    <definedName name="BvABreakdown.Resultat.D106">#REF!</definedName>
    <definedName name="BvABreakdown.Resultat.D108">#REF!</definedName>
    <definedName name="BvABreakdown.Resultat.D110">#REF!</definedName>
    <definedName name="BvABreakdown.Resultat.D112">#REF!</definedName>
    <definedName name="BvABreakdown.Resultat.D114">#REF!</definedName>
    <definedName name="BvABreakdown.Resultat.D116">#REF!</definedName>
    <definedName name="BvABreakdown.Resultat.D118">#REF!</definedName>
    <definedName name="BvABreakdown.Resultat.D12">#REF!</definedName>
    <definedName name="BvABreakdown.Resultat.D120">#REF!</definedName>
    <definedName name="BvABreakdown.Resultat.D122">#REF!</definedName>
    <definedName name="BvABreakdown.Resultat.D124">#REF!</definedName>
    <definedName name="BvABreakdown.Resultat.D126">#REF!</definedName>
    <definedName name="BvABreakdown.Resultat.D128">#REF!</definedName>
    <definedName name="BvABreakdown.Resultat.D131">#REF!</definedName>
    <definedName name="BvABreakdown.Resultat.D133">#REF!</definedName>
    <definedName name="BvABreakdown.Resultat.D135">#REF!</definedName>
    <definedName name="BvABreakdown.Resultat.D137">#REF!</definedName>
    <definedName name="BvABreakdown.Resultat.D139">#REF!</definedName>
    <definedName name="BvABreakdown.Resultat.D14">#REF!</definedName>
    <definedName name="BvABreakdown.Resultat.D141">#REF!</definedName>
    <definedName name="BvABreakdown.Resultat.D144">#REF!</definedName>
    <definedName name="BvABreakdown.Resultat.D146">#REF!</definedName>
    <definedName name="BvABreakdown.Resultat.D148">#REF!</definedName>
    <definedName name="BvABreakdown.Resultat.D150">#REF!</definedName>
    <definedName name="BvABreakdown.Resultat.D152">#REF!</definedName>
    <definedName name="BvABreakdown.Resultat.D154">#REF!</definedName>
    <definedName name="BvABreakdown.Resultat.D156">#REF!</definedName>
    <definedName name="BvABreakdown.Resultat.D158">#REF!</definedName>
    <definedName name="BvABreakdown.Resultat.D16">#REF!</definedName>
    <definedName name="BvABreakdown.Resultat.D160">#REF!</definedName>
    <definedName name="BvABreakdown.Resultat.D162">#REF!</definedName>
    <definedName name="BvABreakdown.Resultat.D164">#REF!</definedName>
    <definedName name="BvABreakdown.Resultat.D167">#REF!</definedName>
    <definedName name="BvABreakdown.Resultat.D169">#REF!</definedName>
    <definedName name="BvABreakdown.Resultat.D171">#REF!</definedName>
    <definedName name="BvABreakdown.Resultat.D173">#REF!</definedName>
    <definedName name="BvABreakdown.Resultat.D175">#REF!</definedName>
    <definedName name="BvABreakdown.Resultat.D177">#REF!</definedName>
    <definedName name="BvABreakdown.Resultat.D179">#REF!</definedName>
    <definedName name="BvABreakdown.Resultat.D18">#REF!</definedName>
    <definedName name="BvABreakdown.Resultat.D181">#REF!</definedName>
    <definedName name="BvABreakdown.Resultat.D183">#REF!</definedName>
    <definedName name="BvABreakdown.Resultat.D186">#REF!</definedName>
    <definedName name="BvABreakdown.Resultat.D188">#REF!</definedName>
    <definedName name="BvABreakdown.Resultat.D190">#REF!</definedName>
    <definedName name="BvABreakdown.Resultat.D192">#REF!</definedName>
    <definedName name="BvABreakdown.Resultat.D20">#REF!</definedName>
    <definedName name="BvABreakdown.Resultat.D22">#REF!</definedName>
    <definedName name="BvABreakdown.Resultat.D24">#REF!</definedName>
    <definedName name="BvABreakdown.Resultat.D26">#REF!</definedName>
    <definedName name="BvABreakdown.Resultat.D28">#REF!</definedName>
    <definedName name="BvABreakdown.Resultat.D30">#REF!</definedName>
    <definedName name="BvABreakdown.Resultat.D32">#REF!</definedName>
    <definedName name="BvABreakdown.Resultat.D34">#REF!</definedName>
    <definedName name="BvABreakdown.Resultat.D36">#REF!</definedName>
    <definedName name="BvABreakdown.Resultat.D42">#REF!</definedName>
    <definedName name="BvABreakdown.Resultat.D44">#REF!</definedName>
    <definedName name="BvABreakdown.Resultat.D46">#REF!</definedName>
    <definedName name="BvABreakdown.Resultat.D48">#REF!</definedName>
    <definedName name="BvABreakdown.Resultat.D50">#REF!</definedName>
    <definedName name="BvABreakdown.Resultat.D52">#REF!</definedName>
    <definedName name="BvABreakdown.Resultat.D54">#REF!</definedName>
    <definedName name="BvABreakdown.Resultat.D56">#REF!</definedName>
    <definedName name="BvABreakdown.Resultat.D58">#REF!</definedName>
    <definedName name="BvABreakdown.Resultat.D60">#REF!</definedName>
    <definedName name="BvABreakdown.Resultat.D62">#REF!</definedName>
    <definedName name="BvABreakdown.Resultat.D64">#REF!</definedName>
    <definedName name="BvABreakdown.Resultat.D66">#REF!</definedName>
    <definedName name="BvABreakdown.Resultat.D68">#REF!</definedName>
    <definedName name="BvABreakdown.Resultat.D70">#REF!</definedName>
    <definedName name="BvABreakdown.Resultat.D72">#REF!</definedName>
    <definedName name="BvABreakdown.Resultat.D74">#REF!</definedName>
    <definedName name="BvABreakdown.Resultat.D76">#REF!</definedName>
    <definedName name="BvABreakdown.Resultat.D78">#REF!</definedName>
    <definedName name="BvABreakdown.Resultat.D80">#REF!</definedName>
    <definedName name="BvABreakdown.Resultat.D82">#REF!</definedName>
    <definedName name="BvABreakdown.Resultat.D85">#REF!</definedName>
    <definedName name="BvABreakdown.Resultat.D87">#REF!</definedName>
    <definedName name="BvABreakdown.Resultat.D92">#REF!</definedName>
    <definedName name="BvABreakdown.Resultat.D94">#REF!</definedName>
    <definedName name="BvABreakdown.Resultat.D96">#REF!</definedName>
    <definedName name="BvABreakdown.Resultat.D98">#REF!</definedName>
    <definedName name="BvABreakdown.Resultat.E10">#REF!</definedName>
    <definedName name="BvABreakdown.Resultat.E100">#REF!</definedName>
    <definedName name="BvABreakdown.Resultat.E102">#REF!</definedName>
    <definedName name="BvABreakdown.Resultat.E104">#REF!</definedName>
    <definedName name="BvABreakdown.Resultat.E106">#REF!</definedName>
    <definedName name="BvABreakdown.Resultat.E108">#REF!</definedName>
    <definedName name="BvABreakdown.Resultat.E110">#REF!</definedName>
    <definedName name="BvABreakdown.Resultat.E112">#REF!</definedName>
    <definedName name="BvABreakdown.Resultat.E114">#REF!</definedName>
    <definedName name="BvABreakdown.Resultat.E116">#REF!</definedName>
    <definedName name="BvABreakdown.Resultat.E118">#REF!</definedName>
    <definedName name="BvABreakdown.Resultat.E12">#REF!</definedName>
    <definedName name="BvABreakdown.Resultat.E120">#REF!</definedName>
    <definedName name="BvABreakdown.Resultat.E122">#REF!</definedName>
    <definedName name="BvABreakdown.Resultat.E124">#REF!</definedName>
    <definedName name="BvABreakdown.Resultat.E126">#REF!</definedName>
    <definedName name="BvABreakdown.Resultat.E128">#REF!</definedName>
    <definedName name="BvABreakdown.Resultat.E131">#REF!</definedName>
    <definedName name="BvABreakdown.Resultat.E133">#REF!</definedName>
    <definedName name="BvABreakdown.Resultat.E135">#REF!</definedName>
    <definedName name="BvABreakdown.Resultat.E137">#REF!</definedName>
    <definedName name="BvABreakdown.Resultat.E139">#REF!</definedName>
    <definedName name="BvABreakdown.Resultat.E14">#REF!</definedName>
    <definedName name="BvABreakdown.Resultat.E141">#REF!</definedName>
    <definedName name="BvABreakdown.Resultat.E144">#REF!</definedName>
    <definedName name="BvABreakdown.Resultat.E146">#REF!</definedName>
    <definedName name="BvABreakdown.Resultat.E148">#REF!</definedName>
    <definedName name="BvABreakdown.Resultat.E150">#REF!</definedName>
    <definedName name="BvABreakdown.Resultat.E152">#REF!</definedName>
    <definedName name="BvABreakdown.Resultat.E154">#REF!</definedName>
    <definedName name="BvABreakdown.Resultat.E156">#REF!</definedName>
    <definedName name="BvABreakdown.Resultat.E158">#REF!</definedName>
    <definedName name="BvABreakdown.Resultat.E16">#REF!</definedName>
    <definedName name="BvABreakdown.Resultat.E160">#REF!</definedName>
    <definedName name="BvABreakdown.Resultat.E162">#REF!</definedName>
    <definedName name="BvABreakdown.Resultat.E164">#REF!</definedName>
    <definedName name="BvABreakdown.Resultat.E167">#REF!</definedName>
    <definedName name="BvABreakdown.Resultat.E169">#REF!</definedName>
    <definedName name="BvABreakdown.Resultat.E171">#REF!</definedName>
    <definedName name="BvABreakdown.Resultat.E173">#REF!</definedName>
    <definedName name="BvABreakdown.Resultat.E175">#REF!</definedName>
    <definedName name="BvABreakdown.Resultat.E177">#REF!</definedName>
    <definedName name="BvABreakdown.Resultat.E179">#REF!</definedName>
    <definedName name="BvABreakdown.Resultat.E18">#REF!</definedName>
    <definedName name="BvABreakdown.Resultat.E181">#REF!</definedName>
    <definedName name="BvABreakdown.Resultat.E183">#REF!</definedName>
    <definedName name="BvABreakdown.Resultat.E186">#REF!</definedName>
    <definedName name="BvABreakdown.Resultat.E188">#REF!</definedName>
    <definedName name="BvABreakdown.Resultat.E190">#REF!</definedName>
    <definedName name="BvABreakdown.Resultat.E192">#REF!</definedName>
    <definedName name="BvABreakdown.Resultat.E20">#REF!</definedName>
    <definedName name="BvABreakdown.Resultat.E22">#REF!</definedName>
    <definedName name="BvABreakdown.Resultat.E24">#REF!</definedName>
    <definedName name="BvABreakdown.Resultat.E26">#REF!</definedName>
    <definedName name="BvABreakdown.Resultat.E28">#REF!</definedName>
    <definedName name="BvABreakdown.Resultat.E30">#REF!</definedName>
    <definedName name="BvABreakdown.Resultat.E32">#REF!</definedName>
    <definedName name="BvABreakdown.Resultat.E34">#REF!</definedName>
    <definedName name="BvABreakdown.Resultat.E36">#REF!</definedName>
    <definedName name="BvABreakdown.Resultat.E42">#REF!</definedName>
    <definedName name="BvABreakdown.Resultat.E44">#REF!</definedName>
    <definedName name="BvABreakdown.Resultat.E46">#REF!</definedName>
    <definedName name="BvABreakdown.Resultat.E48">#REF!</definedName>
    <definedName name="BvABreakdown.Resultat.E50">#REF!</definedName>
    <definedName name="BvABreakdown.Resultat.E52">#REF!</definedName>
    <definedName name="BvABreakdown.Resultat.E54">#REF!</definedName>
    <definedName name="BvABreakdown.Resultat.E56">#REF!</definedName>
    <definedName name="BvABreakdown.Resultat.E58">#REF!</definedName>
    <definedName name="BvABreakdown.Resultat.E60">#REF!</definedName>
    <definedName name="BvABreakdown.Resultat.E62">#REF!</definedName>
    <definedName name="BvABreakdown.Resultat.E64">#REF!</definedName>
    <definedName name="BvABreakdown.Resultat.E66">#REF!</definedName>
    <definedName name="BvABreakdown.Resultat.E68">#REF!</definedName>
    <definedName name="BvABreakdown.Resultat.E70">#REF!</definedName>
    <definedName name="BvABreakdown.Resultat.E72">#REF!</definedName>
    <definedName name="BvABreakdown.Resultat.E74">#REF!</definedName>
    <definedName name="BvABreakdown.Resultat.E76">#REF!</definedName>
    <definedName name="BvABreakdown.Resultat.E78">#REF!</definedName>
    <definedName name="BvABreakdown.Resultat.E80">#REF!</definedName>
    <definedName name="BvABreakdown.Resultat.E82">#REF!</definedName>
    <definedName name="BvABreakdown.Resultat.E85">#REF!</definedName>
    <definedName name="BvABreakdown.Resultat.E87">#REF!</definedName>
    <definedName name="BvABreakdown.Resultat.E92">#REF!</definedName>
    <definedName name="BvABreakdown.Resultat.E94">#REF!</definedName>
    <definedName name="BvABreakdown.Resultat.E96">#REF!</definedName>
    <definedName name="BvABreakdown.Resultat.E98">#REF!</definedName>
    <definedName name="BvABreakdown.Resultat.H10">#REF!</definedName>
    <definedName name="BvABreakdown.Resultat.H100">#REF!</definedName>
    <definedName name="BvABreakdown.Resultat.H102">#REF!</definedName>
    <definedName name="BvABreakdown.Resultat.H104">#REF!</definedName>
    <definedName name="BvABreakdown.Resultat.H106">#REF!</definedName>
    <definedName name="BvABreakdown.Resultat.H108">#REF!</definedName>
    <definedName name="BvABreakdown.Resultat.H110">#REF!</definedName>
    <definedName name="BvABreakdown.Resultat.H112">#REF!</definedName>
    <definedName name="BvABreakdown.Resultat.H114">#REF!</definedName>
    <definedName name="BvABreakdown.Resultat.H116">#REF!</definedName>
    <definedName name="BvABreakdown.Resultat.H118">#REF!</definedName>
    <definedName name="BvABreakdown.Resultat.H12">#REF!</definedName>
    <definedName name="BvABreakdown.Resultat.H120">#REF!</definedName>
    <definedName name="BvABreakdown.Resultat.H122">#REF!</definedName>
    <definedName name="BvABreakdown.Resultat.H124">#REF!</definedName>
    <definedName name="BvABreakdown.Resultat.H126">#REF!</definedName>
    <definedName name="BvABreakdown.Resultat.H128">#REF!</definedName>
    <definedName name="BvABreakdown.Resultat.H131">#REF!</definedName>
    <definedName name="BvABreakdown.Resultat.H133">#REF!</definedName>
    <definedName name="BvABreakdown.Resultat.H135">#REF!</definedName>
    <definedName name="BvABreakdown.Resultat.H137">#REF!</definedName>
    <definedName name="BvABreakdown.Resultat.H139">#REF!</definedName>
    <definedName name="BvABreakdown.Resultat.H14">#REF!</definedName>
    <definedName name="BvABreakdown.Resultat.H141">#REF!</definedName>
    <definedName name="BvABreakdown.Resultat.H144">#REF!</definedName>
    <definedName name="BvABreakdown.Resultat.H146">#REF!</definedName>
    <definedName name="BvABreakdown.Resultat.H148">#REF!</definedName>
    <definedName name="BvABreakdown.Resultat.H150">#REF!</definedName>
    <definedName name="BvABreakdown.Resultat.H152">#REF!</definedName>
    <definedName name="BvABreakdown.Resultat.H154">#REF!</definedName>
    <definedName name="BvABreakdown.Resultat.H156">#REF!</definedName>
    <definedName name="BvABreakdown.Resultat.H158">#REF!</definedName>
    <definedName name="BvABreakdown.Resultat.H16">#REF!</definedName>
    <definedName name="BvABreakdown.Resultat.H160">#REF!</definedName>
    <definedName name="BvABreakdown.Resultat.H162">#REF!</definedName>
    <definedName name="BvABreakdown.Resultat.H164">#REF!</definedName>
    <definedName name="BvABreakdown.Resultat.H167">#REF!</definedName>
    <definedName name="BvABreakdown.Resultat.H169">#REF!</definedName>
    <definedName name="BvABreakdown.Resultat.H171">#REF!</definedName>
    <definedName name="BvABreakdown.Resultat.H173">#REF!</definedName>
    <definedName name="BvABreakdown.Resultat.H175">#REF!</definedName>
    <definedName name="BvABreakdown.Resultat.H177">#REF!</definedName>
    <definedName name="BvABreakdown.Resultat.H179">#REF!</definedName>
    <definedName name="BvABreakdown.Resultat.H18">#REF!</definedName>
    <definedName name="BvABreakdown.Resultat.H181">#REF!</definedName>
    <definedName name="BvABreakdown.Resultat.H183">#REF!</definedName>
    <definedName name="BvABreakdown.Resultat.H186">#REF!</definedName>
    <definedName name="BvABreakdown.Resultat.H188">#REF!</definedName>
    <definedName name="BvABreakdown.Resultat.H190">#REF!</definedName>
    <definedName name="BvABreakdown.Resultat.H192">#REF!</definedName>
    <definedName name="BvABreakdown.Resultat.H195">#REF!</definedName>
    <definedName name="BvABreakdown.Resultat.H20">#REF!</definedName>
    <definedName name="BvABreakdown.Resultat.H22">#REF!</definedName>
    <definedName name="BvABreakdown.Resultat.H24">#REF!</definedName>
    <definedName name="BvABreakdown.Resultat.H26">#REF!</definedName>
    <definedName name="BvABreakdown.Resultat.H28">#REF!</definedName>
    <definedName name="BvABreakdown.Resultat.H30">#REF!</definedName>
    <definedName name="BvABreakdown.Resultat.H32">#REF!</definedName>
    <definedName name="BvABreakdown.Resultat.H34">#REF!</definedName>
    <definedName name="BvABreakdown.Resultat.H36">#REF!</definedName>
    <definedName name="BvABreakdown.Resultat.H42">#REF!</definedName>
    <definedName name="BvABreakdown.Resultat.H44">#REF!</definedName>
    <definedName name="BvABreakdown.Resultat.H46">#REF!</definedName>
    <definedName name="BvABreakdown.Resultat.H48">#REF!</definedName>
    <definedName name="BvABreakdown.Resultat.H50">#REF!</definedName>
    <definedName name="BvABreakdown.Resultat.H52">#REF!</definedName>
    <definedName name="BvABreakdown.Resultat.H54">#REF!</definedName>
    <definedName name="BvABreakdown.Resultat.H56">#REF!</definedName>
    <definedName name="BvABreakdown.Resultat.H58">#REF!</definedName>
    <definedName name="BvABreakdown.Resultat.H60">#REF!</definedName>
    <definedName name="BvABreakdown.Resultat.H62">#REF!</definedName>
    <definedName name="BvABreakdown.Resultat.H64">#REF!</definedName>
    <definedName name="BvABreakdown.Resultat.H66">#REF!</definedName>
    <definedName name="BvABreakdown.Resultat.H68">#REF!</definedName>
    <definedName name="BvABreakdown.Resultat.H70">#REF!</definedName>
    <definedName name="BvABreakdown.Resultat.H72">#REF!</definedName>
    <definedName name="BvABreakdown.Resultat.H74">#REF!</definedName>
    <definedName name="BvABreakdown.Resultat.H76">#REF!</definedName>
    <definedName name="BvABreakdown.Resultat.H78">#REF!</definedName>
    <definedName name="BvABreakdown.Resultat.H80">#REF!</definedName>
    <definedName name="BvABreakdown.Resultat.H82">#REF!</definedName>
    <definedName name="BvABreakdown.Resultat.H85">#REF!</definedName>
    <definedName name="BvABreakdown.Resultat.H87">#REF!</definedName>
    <definedName name="BvABreakdown.Resultat.H92">#REF!</definedName>
    <definedName name="BvABreakdown.Resultat.H94">#REF!</definedName>
    <definedName name="BvABreakdown.Resultat.H96">#REF!</definedName>
    <definedName name="BvABreakdown.Resultat.H98">#REF!</definedName>
    <definedName name="BvABreakdown.Resultat.I10">#REF!</definedName>
    <definedName name="BvABreakdown.Resultat.I100">#REF!</definedName>
    <definedName name="BvABreakdown.Resultat.I102">#REF!</definedName>
    <definedName name="BvABreakdown.Resultat.I104">#REF!</definedName>
    <definedName name="BvABreakdown.Resultat.I106">#REF!</definedName>
    <definedName name="BvABreakdown.Resultat.I108">#REF!</definedName>
    <definedName name="BvABreakdown.Resultat.I110">#REF!</definedName>
    <definedName name="BvABreakdown.Resultat.I112">#REF!</definedName>
    <definedName name="BvABreakdown.Resultat.I114">#REF!</definedName>
    <definedName name="BvABreakdown.Resultat.I116">#REF!</definedName>
    <definedName name="BvABreakdown.Resultat.I118">#REF!</definedName>
    <definedName name="BvABreakdown.Resultat.I12">#REF!</definedName>
    <definedName name="BvABreakdown.Resultat.I120">#REF!</definedName>
    <definedName name="BvABreakdown.Resultat.I122">#REF!</definedName>
    <definedName name="BvABreakdown.Resultat.I124">#REF!</definedName>
    <definedName name="BvABreakdown.Resultat.I126">#REF!</definedName>
    <definedName name="BvABreakdown.Resultat.I128">#REF!</definedName>
    <definedName name="BvABreakdown.Resultat.I131">#REF!</definedName>
    <definedName name="BvABreakdown.Resultat.I133">#REF!</definedName>
    <definedName name="BvABreakdown.Resultat.I135">#REF!</definedName>
    <definedName name="BvABreakdown.Resultat.I137">#REF!</definedName>
    <definedName name="BvABreakdown.Resultat.I139">#REF!</definedName>
    <definedName name="BvABreakdown.Resultat.I14">#REF!</definedName>
    <definedName name="BvABreakdown.Resultat.I141">#REF!</definedName>
    <definedName name="BvABreakdown.Resultat.I144">#REF!</definedName>
    <definedName name="BvABreakdown.Resultat.I146">#REF!</definedName>
    <definedName name="BvABreakdown.Resultat.I148">#REF!</definedName>
    <definedName name="BvABreakdown.Resultat.I150">#REF!</definedName>
    <definedName name="BvABreakdown.Resultat.I152">#REF!</definedName>
    <definedName name="BvABreakdown.Resultat.I154">#REF!</definedName>
    <definedName name="BvABreakdown.Resultat.I156">#REF!</definedName>
    <definedName name="BvABreakdown.Resultat.I158">#REF!</definedName>
    <definedName name="BvABreakdown.Resultat.I16">#REF!</definedName>
    <definedName name="BvABreakdown.Resultat.I160">#REF!</definedName>
    <definedName name="BvABreakdown.Resultat.I162">#REF!</definedName>
    <definedName name="BvABreakdown.Resultat.I164">#REF!</definedName>
    <definedName name="BvABreakdown.Resultat.I167">#REF!</definedName>
    <definedName name="BvABreakdown.Resultat.I169">#REF!</definedName>
    <definedName name="BvABreakdown.Resultat.I171">#REF!</definedName>
    <definedName name="BvABreakdown.Resultat.I173">#REF!</definedName>
    <definedName name="BvABreakdown.Resultat.I175">#REF!</definedName>
    <definedName name="BvABreakdown.Resultat.I177">#REF!</definedName>
    <definedName name="BvABreakdown.Resultat.I179">#REF!</definedName>
    <definedName name="BvABreakdown.Resultat.I18">#REF!</definedName>
    <definedName name="BvABreakdown.Resultat.I181">#REF!</definedName>
    <definedName name="BvABreakdown.Resultat.I183">#REF!</definedName>
    <definedName name="BvABreakdown.Resultat.I186">#REF!</definedName>
    <definedName name="BvABreakdown.Resultat.I188">#REF!</definedName>
    <definedName name="BvABreakdown.Resultat.I190">#REF!</definedName>
    <definedName name="BvABreakdown.Resultat.I192">#REF!</definedName>
    <definedName name="BvABreakdown.Resultat.I195">#REF!</definedName>
    <definedName name="BvABreakdown.Resultat.I20">#REF!</definedName>
    <definedName name="BvABreakdown.Resultat.I22">#REF!</definedName>
    <definedName name="BvABreakdown.Resultat.I24">#REF!</definedName>
    <definedName name="BvABreakdown.Resultat.I26">#REF!</definedName>
    <definedName name="BvABreakdown.Resultat.I28">#REF!</definedName>
    <definedName name="BvABreakdown.Resultat.I30">#REF!</definedName>
    <definedName name="BvABreakdown.Resultat.I32">#REF!</definedName>
    <definedName name="BvABreakdown.Resultat.I34">#REF!</definedName>
    <definedName name="BvABreakdown.Resultat.I36">#REF!</definedName>
    <definedName name="BvABreakdown.Resultat.I42">#REF!</definedName>
    <definedName name="BvABreakdown.Resultat.I44">#REF!</definedName>
    <definedName name="BvABreakdown.Resultat.I46">#REF!</definedName>
    <definedName name="BvABreakdown.Resultat.I48">#REF!</definedName>
    <definedName name="BvABreakdown.Resultat.I50">#REF!</definedName>
    <definedName name="BvABreakdown.Resultat.I52">#REF!</definedName>
    <definedName name="BvABreakdown.Resultat.I54">#REF!</definedName>
    <definedName name="BvABreakdown.Resultat.I56">#REF!</definedName>
    <definedName name="BvABreakdown.Resultat.I58">#REF!</definedName>
    <definedName name="BvABreakdown.Resultat.I60">#REF!</definedName>
    <definedName name="BvABreakdown.Resultat.I62">#REF!</definedName>
    <definedName name="BvABreakdown.Resultat.I64">#REF!</definedName>
    <definedName name="BvABreakdown.Resultat.I66">#REF!</definedName>
    <definedName name="BvABreakdown.Resultat.I68">#REF!</definedName>
    <definedName name="BvABreakdown.Resultat.I70">#REF!</definedName>
    <definedName name="BvABreakdown.Resultat.I72">#REF!</definedName>
    <definedName name="BvABreakdown.Resultat.I74">#REF!</definedName>
    <definedName name="BvABreakdown.Resultat.I76">#REF!</definedName>
    <definedName name="BvABreakdown.Resultat.I78">#REF!</definedName>
    <definedName name="BvABreakdown.Resultat.I80">#REF!</definedName>
    <definedName name="BvABreakdown.Resultat.I82">#REF!</definedName>
    <definedName name="BvABreakdown.Resultat.I85">#REF!</definedName>
    <definedName name="BvABreakdown.Resultat.I87">#REF!</definedName>
    <definedName name="BvABreakdown.Resultat.I92">#REF!</definedName>
    <definedName name="BvABreakdown.Resultat.I94">#REF!</definedName>
    <definedName name="BvABreakdown.Resultat.I96">#REF!</definedName>
    <definedName name="BvABreakdown.Resultat.I98">#REF!</definedName>
    <definedName name="BvABreakdown.Resultat.J10">#REF!</definedName>
    <definedName name="BvABreakdown.Resultat.J100">#REF!</definedName>
    <definedName name="BvABreakdown.Resultat.J102">#REF!</definedName>
    <definedName name="BvABreakdown.Resultat.J104">#REF!</definedName>
    <definedName name="BvABreakdown.Resultat.J106">#REF!</definedName>
    <definedName name="BvABreakdown.Resultat.J108">#REF!</definedName>
    <definedName name="BvABreakdown.Resultat.J110">#REF!</definedName>
    <definedName name="BvABreakdown.Resultat.J112">#REF!</definedName>
    <definedName name="BvABreakdown.Resultat.J114">#REF!</definedName>
    <definedName name="BvABreakdown.Resultat.J116">#REF!</definedName>
    <definedName name="BvABreakdown.Resultat.J118">#REF!</definedName>
    <definedName name="BvABreakdown.Resultat.J12">#REF!</definedName>
    <definedName name="BvABreakdown.Resultat.J120">#REF!</definedName>
    <definedName name="BvABreakdown.Resultat.J122">#REF!</definedName>
    <definedName name="BvABreakdown.Resultat.J124">#REF!</definedName>
    <definedName name="BvABreakdown.Resultat.J126">#REF!</definedName>
    <definedName name="BvABreakdown.Resultat.J128">#REF!</definedName>
    <definedName name="BvABreakdown.Resultat.J131">#REF!</definedName>
    <definedName name="BvABreakdown.Resultat.J133">#REF!</definedName>
    <definedName name="BvABreakdown.Resultat.J135">#REF!</definedName>
    <definedName name="BvABreakdown.Resultat.J137">#REF!</definedName>
    <definedName name="BvABreakdown.Resultat.J139">#REF!</definedName>
    <definedName name="BvABreakdown.Resultat.J14">#REF!</definedName>
    <definedName name="BvABreakdown.Resultat.J141">#REF!</definedName>
    <definedName name="BvABreakdown.Resultat.J144">#REF!</definedName>
    <definedName name="BvABreakdown.Resultat.J146">#REF!</definedName>
    <definedName name="BvABreakdown.Resultat.J148">#REF!</definedName>
    <definedName name="BvABreakdown.Resultat.J150">#REF!</definedName>
    <definedName name="BvABreakdown.Resultat.J152">#REF!</definedName>
    <definedName name="BvABreakdown.Resultat.J154">#REF!</definedName>
    <definedName name="BvABreakdown.Resultat.J156">#REF!</definedName>
    <definedName name="BvABreakdown.Resultat.J158">#REF!</definedName>
    <definedName name="BvABreakdown.Resultat.J16">#REF!</definedName>
    <definedName name="BvABreakdown.Resultat.J160">#REF!</definedName>
    <definedName name="BvABreakdown.Resultat.J162">#REF!</definedName>
    <definedName name="BvABreakdown.Resultat.J164">#REF!</definedName>
    <definedName name="BvABreakdown.Resultat.J167">#REF!</definedName>
    <definedName name="BvABreakdown.Resultat.J169">#REF!</definedName>
    <definedName name="BvABreakdown.Resultat.J171">#REF!</definedName>
    <definedName name="BvABreakdown.Resultat.J173">#REF!</definedName>
    <definedName name="BvABreakdown.Resultat.J175">#REF!</definedName>
    <definedName name="BvABreakdown.Resultat.J177">#REF!</definedName>
    <definedName name="BvABreakdown.Resultat.J179">#REF!</definedName>
    <definedName name="BvABreakdown.Resultat.J18">#REF!</definedName>
    <definedName name="BvABreakdown.Resultat.J181">#REF!</definedName>
    <definedName name="BvABreakdown.Resultat.J183">#REF!</definedName>
    <definedName name="BvABreakdown.Resultat.J186">#REF!</definedName>
    <definedName name="BvABreakdown.Resultat.J188">#REF!</definedName>
    <definedName name="BvABreakdown.Resultat.J190">#REF!</definedName>
    <definedName name="BvABreakdown.Resultat.J192">#REF!</definedName>
    <definedName name="BvABreakdown.Resultat.J20">#REF!</definedName>
    <definedName name="BvABreakdown.Resultat.J22">#REF!</definedName>
    <definedName name="BvABreakdown.Resultat.J24">#REF!</definedName>
    <definedName name="BvABreakdown.Resultat.J26">#REF!</definedName>
    <definedName name="BvABreakdown.Resultat.J28">#REF!</definedName>
    <definedName name="BvABreakdown.Resultat.J30">#REF!</definedName>
    <definedName name="BvABreakdown.Resultat.J32">#REF!</definedName>
    <definedName name="BvABreakdown.Resultat.J34">#REF!</definedName>
    <definedName name="BvABreakdown.Resultat.J36">#REF!</definedName>
    <definedName name="BvABreakdown.Resultat.J42">#REF!</definedName>
    <definedName name="BvABreakdown.Resultat.J44">#REF!</definedName>
    <definedName name="BvABreakdown.Resultat.J46">#REF!</definedName>
    <definedName name="BvABreakdown.Resultat.J48">#REF!</definedName>
    <definedName name="BvABreakdown.Resultat.J50">#REF!</definedName>
    <definedName name="BvABreakdown.Resultat.J52">#REF!</definedName>
    <definedName name="BvABreakdown.Resultat.J54">#REF!</definedName>
    <definedName name="BvABreakdown.Resultat.J56">#REF!</definedName>
    <definedName name="BvABreakdown.Resultat.J58">#REF!</definedName>
    <definedName name="BvABreakdown.Resultat.J60">#REF!</definedName>
    <definedName name="BvABreakdown.Resultat.J62">#REF!</definedName>
    <definedName name="BvABreakdown.Resultat.J64">#REF!</definedName>
    <definedName name="BvABreakdown.Resultat.J66">#REF!</definedName>
    <definedName name="BvABreakdown.Resultat.J68">#REF!</definedName>
    <definedName name="BvABreakdown.Resultat.J70">#REF!</definedName>
    <definedName name="BvABreakdown.Resultat.J72">#REF!</definedName>
    <definedName name="BvABreakdown.Resultat.J74">#REF!</definedName>
    <definedName name="BvABreakdown.Resultat.J76">#REF!</definedName>
    <definedName name="BvABreakdown.Resultat.J78">#REF!</definedName>
    <definedName name="BvABreakdown.Resultat.J80">#REF!</definedName>
    <definedName name="BvABreakdown.Resultat.J82">#REF!</definedName>
    <definedName name="BvABreakdown.Resultat.J85">#REF!</definedName>
    <definedName name="BvABreakdown.Resultat.J87">#REF!</definedName>
    <definedName name="BvABreakdown.Resultat.J92">#REF!</definedName>
    <definedName name="BvABreakdown.Resultat.J94">#REF!</definedName>
    <definedName name="BvABreakdown.Resultat.J96">#REF!</definedName>
    <definedName name="BvABreakdown.Resultat.J98">#REF!</definedName>
    <definedName name="BvABreakdown.Resultat.K10">#REF!</definedName>
    <definedName name="BvABreakdown.Resultat.K100">#REF!</definedName>
    <definedName name="BvABreakdown.Resultat.K102">#REF!</definedName>
    <definedName name="BvABreakdown.Resultat.K104">#REF!</definedName>
    <definedName name="BvABreakdown.Resultat.K106">#REF!</definedName>
    <definedName name="BvABreakdown.Resultat.K108">#REF!</definedName>
    <definedName name="BvABreakdown.Resultat.K110">#REF!</definedName>
    <definedName name="BvABreakdown.Resultat.K112">#REF!</definedName>
    <definedName name="BvABreakdown.Resultat.K114">#REF!</definedName>
    <definedName name="BvABreakdown.Resultat.K116">#REF!</definedName>
    <definedName name="BvABreakdown.Resultat.K118">#REF!</definedName>
    <definedName name="BvABreakdown.Resultat.K12">#REF!</definedName>
    <definedName name="BvABreakdown.Resultat.K120">#REF!</definedName>
    <definedName name="BvABreakdown.Resultat.K122">#REF!</definedName>
    <definedName name="BvABreakdown.Resultat.K124">#REF!</definedName>
    <definedName name="BvABreakdown.Resultat.K126">#REF!</definedName>
    <definedName name="BvABreakdown.Resultat.K128">#REF!</definedName>
    <definedName name="BvABreakdown.Resultat.K131">#REF!</definedName>
    <definedName name="BvABreakdown.Resultat.K133">#REF!</definedName>
    <definedName name="BvABreakdown.Resultat.K135">#REF!</definedName>
    <definedName name="BvABreakdown.Resultat.K137">#REF!</definedName>
    <definedName name="BvABreakdown.Resultat.K139">#REF!</definedName>
    <definedName name="BvABreakdown.Resultat.K14">#REF!</definedName>
    <definedName name="BvABreakdown.Resultat.K141">#REF!</definedName>
    <definedName name="BvABreakdown.Resultat.K144">#REF!</definedName>
    <definedName name="BvABreakdown.Resultat.K146">#REF!</definedName>
    <definedName name="BvABreakdown.Resultat.K148">#REF!</definedName>
    <definedName name="BvABreakdown.Resultat.K150">#REF!</definedName>
    <definedName name="BvABreakdown.Resultat.K152">#REF!</definedName>
    <definedName name="BvABreakdown.Resultat.K154">#REF!</definedName>
    <definedName name="BvABreakdown.Resultat.K156">#REF!</definedName>
    <definedName name="BvABreakdown.Resultat.K158">#REF!</definedName>
    <definedName name="BvABreakdown.Resultat.K16">#REF!</definedName>
    <definedName name="BvABreakdown.Resultat.K160">#REF!</definedName>
    <definedName name="BvABreakdown.Resultat.K162">#REF!</definedName>
    <definedName name="BvABreakdown.Resultat.K164">#REF!</definedName>
    <definedName name="BvABreakdown.Resultat.K167">#REF!</definedName>
    <definedName name="BvABreakdown.Resultat.K169">#REF!</definedName>
    <definedName name="BvABreakdown.Resultat.K171">#REF!</definedName>
    <definedName name="BvABreakdown.Resultat.K173">#REF!</definedName>
    <definedName name="BvABreakdown.Resultat.K175">#REF!</definedName>
    <definedName name="BvABreakdown.Resultat.K177">#REF!</definedName>
    <definedName name="BvABreakdown.Resultat.K179">#REF!</definedName>
    <definedName name="BvABreakdown.Resultat.K18">#REF!</definedName>
    <definedName name="BvABreakdown.Resultat.K181">#REF!</definedName>
    <definedName name="BvABreakdown.Resultat.K183">#REF!</definedName>
    <definedName name="BvABreakdown.Resultat.K186">#REF!</definedName>
    <definedName name="BvABreakdown.Resultat.K188">#REF!</definedName>
    <definedName name="BvABreakdown.Resultat.K190">#REF!</definedName>
    <definedName name="BvABreakdown.Resultat.K192">#REF!</definedName>
    <definedName name="BvABreakdown.Resultat.K20">#REF!</definedName>
    <definedName name="BvABreakdown.Resultat.K22">#REF!</definedName>
    <definedName name="BvABreakdown.Resultat.K24">#REF!</definedName>
    <definedName name="BvABreakdown.Resultat.K26">#REF!</definedName>
    <definedName name="BvABreakdown.Resultat.K28">#REF!</definedName>
    <definedName name="BvABreakdown.Resultat.K30">#REF!</definedName>
    <definedName name="BvABreakdown.Resultat.K32">#REF!</definedName>
    <definedName name="BvABreakdown.Resultat.K34">#REF!</definedName>
    <definedName name="BvABreakdown.Resultat.K36">#REF!</definedName>
    <definedName name="BvABreakdown.Resultat.K42">#REF!</definedName>
    <definedName name="BvABreakdown.Resultat.K44">#REF!</definedName>
    <definedName name="BvABreakdown.Resultat.K46">#REF!</definedName>
    <definedName name="BvABreakdown.Resultat.K48">#REF!</definedName>
    <definedName name="BvABreakdown.Resultat.K50">#REF!</definedName>
    <definedName name="BvABreakdown.Resultat.K52">#REF!</definedName>
    <definedName name="BvABreakdown.Resultat.K54">#REF!</definedName>
    <definedName name="BvABreakdown.Resultat.K56">#REF!</definedName>
    <definedName name="BvABreakdown.Resultat.K58">#REF!</definedName>
    <definedName name="BvABreakdown.Resultat.K60">#REF!</definedName>
    <definedName name="BvABreakdown.Resultat.K62">#REF!</definedName>
    <definedName name="BvABreakdown.Resultat.K64">#REF!</definedName>
    <definedName name="BvABreakdown.Resultat.K66">#REF!</definedName>
    <definedName name="BvABreakdown.Resultat.K68">#REF!</definedName>
    <definedName name="BvABreakdown.Resultat.K70">#REF!</definedName>
    <definedName name="BvABreakdown.Resultat.K72">#REF!</definedName>
    <definedName name="BvABreakdown.Resultat.K74">#REF!</definedName>
    <definedName name="BvABreakdown.Resultat.K76">#REF!</definedName>
    <definedName name="BvABreakdown.Resultat.K78">#REF!</definedName>
    <definedName name="BvABreakdown.Resultat.K80">#REF!</definedName>
    <definedName name="BvABreakdown.Resultat.K82">#REF!</definedName>
    <definedName name="BvABreakdown.Resultat.K85">#REF!</definedName>
    <definedName name="BvABreakdown.Resultat.K87">#REF!</definedName>
    <definedName name="BvABreakdown.Resultat.K92">#REF!</definedName>
    <definedName name="BvABreakdown.Resultat.K94">#REF!</definedName>
    <definedName name="BvABreakdown.Resultat.K96">#REF!</definedName>
    <definedName name="BvABreakdown.Resultat.K98">#REF!</definedName>
    <definedName name="BvABreakdown.Resultat.N10">#REF!</definedName>
    <definedName name="BvABreakdown.Resultat.N100">#REF!</definedName>
    <definedName name="BvABreakdown.Resultat.N102">#REF!</definedName>
    <definedName name="BvABreakdown.Resultat.N104">#REF!</definedName>
    <definedName name="BvABreakdown.Resultat.N106">#REF!</definedName>
    <definedName name="BvABreakdown.Resultat.N108">#REF!</definedName>
    <definedName name="BvABreakdown.Resultat.N110">#REF!</definedName>
    <definedName name="BvABreakdown.Resultat.N112">#REF!</definedName>
    <definedName name="BvABreakdown.Resultat.N114">#REF!</definedName>
    <definedName name="BvABreakdown.Resultat.N116">#REF!</definedName>
    <definedName name="BvABreakdown.Resultat.N118">#REF!</definedName>
    <definedName name="BvABreakdown.Resultat.N12">#REF!</definedName>
    <definedName name="BvABreakdown.Resultat.N120">#REF!</definedName>
    <definedName name="BvABreakdown.Resultat.N122">#REF!</definedName>
    <definedName name="BvABreakdown.Resultat.N124">#REF!</definedName>
    <definedName name="BvABreakdown.Resultat.N126">#REF!</definedName>
    <definedName name="BvABreakdown.Resultat.N128">#REF!</definedName>
    <definedName name="BvABreakdown.Resultat.N131">#REF!</definedName>
    <definedName name="BvABreakdown.Resultat.N133">#REF!</definedName>
    <definedName name="BvABreakdown.Resultat.N135">#REF!</definedName>
    <definedName name="BvABreakdown.Resultat.N137">#REF!</definedName>
    <definedName name="BvABreakdown.Resultat.N139">#REF!</definedName>
    <definedName name="BvABreakdown.Resultat.N14">#REF!</definedName>
    <definedName name="BvABreakdown.Resultat.N141">#REF!</definedName>
    <definedName name="BvABreakdown.Resultat.N144">#REF!</definedName>
    <definedName name="BvABreakdown.Resultat.N146">#REF!</definedName>
    <definedName name="BvABreakdown.Resultat.N148">#REF!</definedName>
    <definedName name="BvABreakdown.Resultat.N150">#REF!</definedName>
    <definedName name="BvABreakdown.Resultat.N152">#REF!</definedName>
    <definedName name="BvABreakdown.Resultat.N154">#REF!</definedName>
    <definedName name="BvABreakdown.Resultat.N156">#REF!</definedName>
    <definedName name="BvABreakdown.Resultat.N158">#REF!</definedName>
    <definedName name="BvABreakdown.Resultat.N16">#REF!</definedName>
    <definedName name="BvABreakdown.Resultat.N160">#REF!</definedName>
    <definedName name="BvABreakdown.Resultat.N162">#REF!</definedName>
    <definedName name="BvABreakdown.Resultat.N164">#REF!</definedName>
    <definedName name="BvABreakdown.Resultat.N167">#REF!</definedName>
    <definedName name="BvABreakdown.Resultat.N169">#REF!</definedName>
    <definedName name="BvABreakdown.Resultat.N171">#REF!</definedName>
    <definedName name="BvABreakdown.Resultat.N173">#REF!</definedName>
    <definedName name="BvABreakdown.Resultat.N175">#REF!</definedName>
    <definedName name="BvABreakdown.Resultat.N177">#REF!</definedName>
    <definedName name="BvABreakdown.Resultat.N179">#REF!</definedName>
    <definedName name="BvABreakdown.Resultat.N18">#REF!</definedName>
    <definedName name="BvABreakdown.Resultat.N181">#REF!</definedName>
    <definedName name="BvABreakdown.Resultat.N183">#REF!</definedName>
    <definedName name="BvABreakdown.Resultat.N186">#REF!</definedName>
    <definedName name="BvABreakdown.Resultat.N188">#REF!</definedName>
    <definedName name="BvABreakdown.Resultat.N190">#REF!</definedName>
    <definedName name="BvABreakdown.Resultat.N192">#REF!</definedName>
    <definedName name="BvABreakdown.Resultat.N195">#REF!</definedName>
    <definedName name="BvABreakdown.Resultat.N20">#REF!</definedName>
    <definedName name="BvABreakdown.Resultat.N22">#REF!</definedName>
    <definedName name="BvABreakdown.Resultat.N24">#REF!</definedName>
    <definedName name="BvABreakdown.Resultat.N26">#REF!</definedName>
    <definedName name="BvABreakdown.Resultat.N28">#REF!</definedName>
    <definedName name="BvABreakdown.Resultat.N30">#REF!</definedName>
    <definedName name="BvABreakdown.Resultat.N32">#REF!</definedName>
    <definedName name="BvABreakdown.Resultat.N34">#REF!</definedName>
    <definedName name="BvABreakdown.Resultat.N36">#REF!</definedName>
    <definedName name="BvABreakdown.Resultat.N42">#REF!</definedName>
    <definedName name="BvABreakdown.Resultat.N44">#REF!</definedName>
    <definedName name="BvABreakdown.Resultat.N46">#REF!</definedName>
    <definedName name="BvABreakdown.Resultat.N48">#REF!</definedName>
    <definedName name="BvABreakdown.Resultat.N50">#REF!</definedName>
    <definedName name="BvABreakdown.Resultat.N52">#REF!</definedName>
    <definedName name="BvABreakdown.Resultat.N54">#REF!</definedName>
    <definedName name="BvABreakdown.Resultat.N56">#REF!</definedName>
    <definedName name="BvABreakdown.Resultat.N58">#REF!</definedName>
    <definedName name="BvABreakdown.Resultat.N60">#REF!</definedName>
    <definedName name="BvABreakdown.Resultat.N62">#REF!</definedName>
    <definedName name="BvABreakdown.Resultat.N64">#REF!</definedName>
    <definedName name="BvABreakdown.Resultat.N66">#REF!</definedName>
    <definedName name="BvABreakdown.Resultat.N68">#REF!</definedName>
    <definedName name="BvABreakdown.Resultat.N70">#REF!</definedName>
    <definedName name="BvABreakdown.Resultat.N72">#REF!</definedName>
    <definedName name="BvABreakdown.Resultat.N74">#REF!</definedName>
    <definedName name="BvABreakdown.Resultat.N76">#REF!</definedName>
    <definedName name="BvABreakdown.Resultat.N78">#REF!</definedName>
    <definedName name="BvABreakdown.Resultat.N80">#REF!</definedName>
    <definedName name="BvABreakdown.Resultat.N82">#REF!</definedName>
    <definedName name="BvABreakdown.Resultat.N85">#REF!</definedName>
    <definedName name="BvABreakdown.Resultat.N87">#REF!</definedName>
    <definedName name="BvABreakdown.Resultat.N92">#REF!</definedName>
    <definedName name="BvABreakdown.Resultat.N94">#REF!</definedName>
    <definedName name="BvABreakdown.Resultat.N96">#REF!</definedName>
    <definedName name="BvABreakdown.Resultat.N98">#REF!</definedName>
    <definedName name="BvABreakdown.Resultat.O10">#REF!</definedName>
    <definedName name="BvABreakdown.Resultat.O100">#REF!</definedName>
    <definedName name="BvABreakdown.Resultat.O102">#REF!</definedName>
    <definedName name="BvABreakdown.Resultat.O104">#REF!</definedName>
    <definedName name="BvABreakdown.Resultat.O106">#REF!</definedName>
    <definedName name="BvABreakdown.Resultat.O108">#REF!</definedName>
    <definedName name="BvABreakdown.Resultat.O110">#REF!</definedName>
    <definedName name="BvABreakdown.Resultat.O112">#REF!</definedName>
    <definedName name="BvABreakdown.Resultat.O114">#REF!</definedName>
    <definedName name="BvABreakdown.Resultat.O116">#REF!</definedName>
    <definedName name="BvABreakdown.Resultat.O118">#REF!</definedName>
    <definedName name="BvABreakdown.Resultat.O12">#REF!</definedName>
    <definedName name="BvABreakdown.Resultat.O120">#REF!</definedName>
    <definedName name="BvABreakdown.Resultat.O122">#REF!</definedName>
    <definedName name="BvABreakdown.Resultat.O124">#REF!</definedName>
    <definedName name="BvABreakdown.Resultat.O126">#REF!</definedName>
    <definedName name="BvABreakdown.Resultat.O128">#REF!</definedName>
    <definedName name="BvABreakdown.Resultat.O131">#REF!</definedName>
    <definedName name="BvABreakdown.Resultat.O133">#REF!</definedName>
    <definedName name="BvABreakdown.Resultat.O135">#REF!</definedName>
    <definedName name="BvABreakdown.Resultat.O137">#REF!</definedName>
    <definedName name="BvABreakdown.Resultat.O139">#REF!</definedName>
    <definedName name="BvABreakdown.Resultat.O14">#REF!</definedName>
    <definedName name="BvABreakdown.Resultat.O141">#REF!</definedName>
    <definedName name="BvABreakdown.Resultat.O144">#REF!</definedName>
    <definedName name="BvABreakdown.Resultat.O146">#REF!</definedName>
    <definedName name="BvABreakdown.Resultat.O148">#REF!</definedName>
    <definedName name="BvABreakdown.Resultat.O150">#REF!</definedName>
    <definedName name="BvABreakdown.Resultat.O152">#REF!</definedName>
    <definedName name="BvABreakdown.Resultat.O154">#REF!</definedName>
    <definedName name="BvABreakdown.Resultat.O156">#REF!</definedName>
    <definedName name="BvABreakdown.Resultat.O158">#REF!</definedName>
    <definedName name="BvABreakdown.Resultat.O16">#REF!</definedName>
    <definedName name="BvABreakdown.Resultat.O160">#REF!</definedName>
    <definedName name="BvABreakdown.Resultat.O162">#REF!</definedName>
    <definedName name="BvABreakdown.Resultat.O164">#REF!</definedName>
    <definedName name="BvABreakdown.Resultat.O167">#REF!</definedName>
    <definedName name="BvABreakdown.Resultat.O169">#REF!</definedName>
    <definedName name="BvABreakdown.Resultat.O171">#REF!</definedName>
    <definedName name="BvABreakdown.Resultat.O173">#REF!</definedName>
    <definedName name="BvABreakdown.Resultat.O175">#REF!</definedName>
    <definedName name="BvABreakdown.Resultat.O177">#REF!</definedName>
    <definedName name="BvABreakdown.Resultat.O179">#REF!</definedName>
    <definedName name="BvABreakdown.Resultat.O18">#REF!</definedName>
    <definedName name="BvABreakdown.Resultat.O181">#REF!</definedName>
    <definedName name="BvABreakdown.Resultat.O183">#REF!</definedName>
    <definedName name="BvABreakdown.Resultat.O186">#REF!</definedName>
    <definedName name="BvABreakdown.Resultat.O188">#REF!</definedName>
    <definedName name="BvABreakdown.Resultat.O190">#REF!</definedName>
    <definedName name="BvABreakdown.Resultat.O192">#REF!</definedName>
    <definedName name="BvABreakdown.Resultat.O195">#REF!</definedName>
    <definedName name="BvABreakdown.Resultat.O20">#REF!</definedName>
    <definedName name="BvABreakdown.Resultat.O22">#REF!</definedName>
    <definedName name="BvABreakdown.Resultat.O24">#REF!</definedName>
    <definedName name="BvABreakdown.Resultat.O26">#REF!</definedName>
    <definedName name="BvABreakdown.Resultat.O28">#REF!</definedName>
    <definedName name="BvABreakdown.Resultat.O30">#REF!</definedName>
    <definedName name="BvABreakdown.Resultat.O32">#REF!</definedName>
    <definedName name="BvABreakdown.Resultat.O34">#REF!</definedName>
    <definedName name="BvABreakdown.Resultat.O36">#REF!</definedName>
    <definedName name="BvABreakdown.Resultat.O42">#REF!</definedName>
    <definedName name="BvABreakdown.Resultat.O44">#REF!</definedName>
    <definedName name="BvABreakdown.Resultat.O46">#REF!</definedName>
    <definedName name="BvABreakdown.Resultat.O48">#REF!</definedName>
    <definedName name="BvABreakdown.Resultat.O50">#REF!</definedName>
    <definedName name="BvABreakdown.Resultat.O52">#REF!</definedName>
    <definedName name="BvABreakdown.Resultat.O54">#REF!</definedName>
    <definedName name="BvABreakdown.Resultat.O56">#REF!</definedName>
    <definedName name="BvABreakdown.Resultat.O58">#REF!</definedName>
    <definedName name="BvABreakdown.Resultat.O60">#REF!</definedName>
    <definedName name="BvABreakdown.Resultat.O62">#REF!</definedName>
    <definedName name="BvABreakdown.Resultat.O64">#REF!</definedName>
    <definedName name="BvABreakdown.Resultat.O66">#REF!</definedName>
    <definedName name="BvABreakdown.Resultat.O68">#REF!</definedName>
    <definedName name="BvABreakdown.Resultat.O70">#REF!</definedName>
    <definedName name="BvABreakdown.Resultat.O72">#REF!</definedName>
    <definedName name="BvABreakdown.Resultat.O74">#REF!</definedName>
    <definedName name="BvABreakdown.Resultat.O76">#REF!</definedName>
    <definedName name="BvABreakdown.Resultat.O78">#REF!</definedName>
    <definedName name="BvABreakdown.Resultat.O80">#REF!</definedName>
    <definedName name="BvABreakdown.Resultat.O82">#REF!</definedName>
    <definedName name="BvABreakdown.Resultat.O85">#REF!</definedName>
    <definedName name="BvABreakdown.Resultat.O87">#REF!</definedName>
    <definedName name="BvABreakdown.Resultat.O92">#REF!</definedName>
    <definedName name="BvABreakdown.Resultat.O94">#REF!</definedName>
    <definedName name="BvABreakdown.Resultat.O96">#REF!</definedName>
    <definedName name="BvABreakdown.Resultat.O98">#REF!</definedName>
    <definedName name="BvABreakdown.Resultat.P10">#REF!</definedName>
    <definedName name="BvABreakdown.Resultat.P100">#REF!</definedName>
    <definedName name="BvABreakdown.Resultat.P102">#REF!</definedName>
    <definedName name="BvABreakdown.Resultat.P104">#REF!</definedName>
    <definedName name="BvABreakdown.Resultat.P106">#REF!</definedName>
    <definedName name="BvABreakdown.Resultat.P108">#REF!</definedName>
    <definedName name="BvABreakdown.Resultat.P110">#REF!</definedName>
    <definedName name="BvABreakdown.Resultat.P112">#REF!</definedName>
    <definedName name="BvABreakdown.Resultat.P114">#REF!</definedName>
    <definedName name="BvABreakdown.Resultat.P116">#REF!</definedName>
    <definedName name="BvABreakdown.Resultat.P118">#REF!</definedName>
    <definedName name="BvABreakdown.Resultat.P12">#REF!</definedName>
    <definedName name="BvABreakdown.Resultat.P120">#REF!</definedName>
    <definedName name="BvABreakdown.Resultat.P122">#REF!</definedName>
    <definedName name="BvABreakdown.Resultat.P124">#REF!</definedName>
    <definedName name="BvABreakdown.Resultat.P126">#REF!</definedName>
    <definedName name="BvABreakdown.Resultat.P128">#REF!</definedName>
    <definedName name="BvABreakdown.Resultat.P131">#REF!</definedName>
    <definedName name="BvABreakdown.Resultat.P133">#REF!</definedName>
    <definedName name="BvABreakdown.Resultat.P135">#REF!</definedName>
    <definedName name="BvABreakdown.Resultat.P137">#REF!</definedName>
    <definedName name="BvABreakdown.Resultat.P139">#REF!</definedName>
    <definedName name="BvABreakdown.Resultat.P14">#REF!</definedName>
    <definedName name="BvABreakdown.Resultat.P141">#REF!</definedName>
    <definedName name="BvABreakdown.Resultat.P144">#REF!</definedName>
    <definedName name="BvABreakdown.Resultat.P146">#REF!</definedName>
    <definedName name="BvABreakdown.Resultat.P148">#REF!</definedName>
    <definedName name="BvABreakdown.Resultat.P150">#REF!</definedName>
    <definedName name="BvABreakdown.Resultat.P152">#REF!</definedName>
    <definedName name="BvABreakdown.Resultat.P154">#REF!</definedName>
    <definedName name="BvABreakdown.Resultat.P156">#REF!</definedName>
    <definedName name="BvABreakdown.Resultat.P158">#REF!</definedName>
    <definedName name="BvABreakdown.Resultat.P16">#REF!</definedName>
    <definedName name="BvABreakdown.Resultat.P160">#REF!</definedName>
    <definedName name="BvABreakdown.Resultat.P162">#REF!</definedName>
    <definedName name="BvABreakdown.Resultat.P164">#REF!</definedName>
    <definedName name="BvABreakdown.Resultat.P167">#REF!</definedName>
    <definedName name="BvABreakdown.Resultat.P169">#REF!</definedName>
    <definedName name="BvABreakdown.Resultat.P171">#REF!</definedName>
    <definedName name="BvABreakdown.Resultat.P173">#REF!</definedName>
    <definedName name="BvABreakdown.Resultat.P175">#REF!</definedName>
    <definedName name="BvABreakdown.Resultat.P177">#REF!</definedName>
    <definedName name="BvABreakdown.Resultat.P179">#REF!</definedName>
    <definedName name="BvABreakdown.Resultat.P18">#REF!</definedName>
    <definedName name="BvABreakdown.Resultat.P181">#REF!</definedName>
    <definedName name="BvABreakdown.Resultat.P183">#REF!</definedName>
    <definedName name="BvABreakdown.Resultat.P186">#REF!</definedName>
    <definedName name="BvABreakdown.Resultat.P188">#REF!</definedName>
    <definedName name="BvABreakdown.Resultat.P190">#REF!</definedName>
    <definedName name="BvABreakdown.Resultat.P192">#REF!</definedName>
    <definedName name="BvABreakdown.Resultat.P20">#REF!</definedName>
    <definedName name="BvABreakdown.Resultat.P22">#REF!</definedName>
    <definedName name="BvABreakdown.Resultat.P24">#REF!</definedName>
    <definedName name="BvABreakdown.Resultat.P26">#REF!</definedName>
    <definedName name="BvABreakdown.Resultat.P28">#REF!</definedName>
    <definedName name="BvABreakdown.Resultat.P30">#REF!</definedName>
    <definedName name="BvABreakdown.Resultat.P32">#REF!</definedName>
    <definedName name="BvABreakdown.Resultat.P34">#REF!</definedName>
    <definedName name="BvABreakdown.Resultat.P36">#REF!</definedName>
    <definedName name="BvABreakdown.Resultat.P42">#REF!</definedName>
    <definedName name="BvABreakdown.Resultat.P44">#REF!</definedName>
    <definedName name="BvABreakdown.Resultat.P46">#REF!</definedName>
    <definedName name="BvABreakdown.Resultat.P48">#REF!</definedName>
    <definedName name="BvABreakdown.Resultat.P50">#REF!</definedName>
    <definedName name="BvABreakdown.Resultat.P52">#REF!</definedName>
    <definedName name="BvABreakdown.Resultat.P54">#REF!</definedName>
    <definedName name="BvABreakdown.Resultat.P56">#REF!</definedName>
    <definedName name="BvABreakdown.Resultat.P58">#REF!</definedName>
    <definedName name="BvABreakdown.Resultat.P60">#REF!</definedName>
    <definedName name="BvABreakdown.Resultat.P62">#REF!</definedName>
    <definedName name="BvABreakdown.Resultat.P64">#REF!</definedName>
    <definedName name="BvABreakdown.Resultat.P66">#REF!</definedName>
    <definedName name="BvABreakdown.Resultat.P68">#REF!</definedName>
    <definedName name="BvABreakdown.Resultat.P70">#REF!</definedName>
    <definedName name="BvABreakdown.Resultat.P72">#REF!</definedName>
    <definedName name="BvABreakdown.Resultat.P74">#REF!</definedName>
    <definedName name="BvABreakdown.Resultat.P76">#REF!</definedName>
    <definedName name="BvABreakdown.Resultat.P78">#REF!</definedName>
    <definedName name="BvABreakdown.Resultat.P80">#REF!</definedName>
    <definedName name="BvABreakdown.Resultat.P82">#REF!</definedName>
    <definedName name="BvABreakdown.Resultat.P85">#REF!</definedName>
    <definedName name="BvABreakdown.Resultat.P87">#REF!</definedName>
    <definedName name="BvABreakdown.Resultat.P92">#REF!</definedName>
    <definedName name="BvABreakdown.Resultat.P94">#REF!</definedName>
    <definedName name="BvABreakdown.Resultat.P96">#REF!</definedName>
    <definedName name="BvABreakdown.Resultat.P98">#REF!</definedName>
    <definedName name="BvABreakdown.Resultat.Q10">#REF!</definedName>
    <definedName name="BvABreakdown.Resultat.Q100">#REF!</definedName>
    <definedName name="BvABreakdown.Resultat.Q102">#REF!</definedName>
    <definedName name="BvABreakdown.Resultat.Q104">#REF!</definedName>
    <definedName name="BvABreakdown.Resultat.Q106">#REF!</definedName>
    <definedName name="BvABreakdown.Resultat.Q108">#REF!</definedName>
    <definedName name="BvABreakdown.Resultat.Q110">#REF!</definedName>
    <definedName name="BvABreakdown.Resultat.Q112">#REF!</definedName>
    <definedName name="BvABreakdown.Resultat.Q114">#REF!</definedName>
    <definedName name="BvABreakdown.Resultat.Q116">#REF!</definedName>
    <definedName name="BvABreakdown.Resultat.Q118">#REF!</definedName>
    <definedName name="BvABreakdown.Resultat.Q12">#REF!</definedName>
    <definedName name="BvABreakdown.Resultat.Q120">#REF!</definedName>
    <definedName name="BvABreakdown.Resultat.Q122">#REF!</definedName>
    <definedName name="BvABreakdown.Resultat.Q124">#REF!</definedName>
    <definedName name="BvABreakdown.Resultat.Q126">#REF!</definedName>
    <definedName name="BvABreakdown.Resultat.Q128">#REF!</definedName>
    <definedName name="BvABreakdown.Resultat.Q131">#REF!</definedName>
    <definedName name="BvABreakdown.Resultat.Q133">#REF!</definedName>
    <definedName name="BvABreakdown.Resultat.Q135">#REF!</definedName>
    <definedName name="BvABreakdown.Resultat.Q137">#REF!</definedName>
    <definedName name="BvABreakdown.Resultat.Q139">#REF!</definedName>
    <definedName name="BvABreakdown.Resultat.Q14">#REF!</definedName>
    <definedName name="BvABreakdown.Resultat.Q141">#REF!</definedName>
    <definedName name="BvABreakdown.Resultat.Q144">#REF!</definedName>
    <definedName name="BvABreakdown.Resultat.Q146">#REF!</definedName>
    <definedName name="BvABreakdown.Resultat.Q148">#REF!</definedName>
    <definedName name="BvABreakdown.Resultat.Q150">#REF!</definedName>
    <definedName name="BvABreakdown.Resultat.Q152">#REF!</definedName>
    <definedName name="BvABreakdown.Resultat.Q154">#REF!</definedName>
    <definedName name="BvABreakdown.Resultat.Q156">#REF!</definedName>
    <definedName name="BvABreakdown.Resultat.Q158">#REF!</definedName>
    <definedName name="BvABreakdown.Resultat.Q16">#REF!</definedName>
    <definedName name="BvABreakdown.Resultat.Q160">#REF!</definedName>
    <definedName name="BvABreakdown.Resultat.Q162">#REF!</definedName>
    <definedName name="BvABreakdown.Resultat.Q164">#REF!</definedName>
    <definedName name="BvABreakdown.Resultat.Q167">#REF!</definedName>
    <definedName name="BvABreakdown.Resultat.Q169">#REF!</definedName>
    <definedName name="BvABreakdown.Resultat.Q171">#REF!</definedName>
    <definedName name="BvABreakdown.Resultat.Q173">#REF!</definedName>
    <definedName name="BvABreakdown.Resultat.Q175">#REF!</definedName>
    <definedName name="BvABreakdown.Resultat.Q177">#REF!</definedName>
    <definedName name="BvABreakdown.Resultat.Q179">#REF!</definedName>
    <definedName name="BvABreakdown.Resultat.Q18">#REF!</definedName>
    <definedName name="BvABreakdown.Resultat.Q181">#REF!</definedName>
    <definedName name="BvABreakdown.Resultat.Q183">#REF!</definedName>
    <definedName name="BvABreakdown.Resultat.Q186">#REF!</definedName>
    <definedName name="BvABreakdown.Resultat.Q188">#REF!</definedName>
    <definedName name="BvABreakdown.Resultat.Q190">#REF!</definedName>
    <definedName name="BvABreakdown.Resultat.Q192">#REF!</definedName>
    <definedName name="BvABreakdown.Resultat.Q20">#REF!</definedName>
    <definedName name="BvABreakdown.Resultat.Q22">#REF!</definedName>
    <definedName name="BvABreakdown.Resultat.Q24">#REF!</definedName>
    <definedName name="BvABreakdown.Resultat.Q26">#REF!</definedName>
    <definedName name="BvABreakdown.Resultat.Q28">#REF!</definedName>
    <definedName name="BvABreakdown.Resultat.Q30">#REF!</definedName>
    <definedName name="BvABreakdown.Resultat.Q32">#REF!</definedName>
    <definedName name="BvABreakdown.Resultat.Q34">#REF!</definedName>
    <definedName name="BvABreakdown.Resultat.Q36">#REF!</definedName>
    <definedName name="BvABreakdown.Resultat.Q42">#REF!</definedName>
    <definedName name="BvABreakdown.Resultat.Q44">#REF!</definedName>
    <definedName name="BvABreakdown.Resultat.Q46">#REF!</definedName>
    <definedName name="BvABreakdown.Resultat.Q48">#REF!</definedName>
    <definedName name="BvABreakdown.Resultat.Q50">#REF!</definedName>
    <definedName name="BvABreakdown.Resultat.Q52">#REF!</definedName>
    <definedName name="BvABreakdown.Resultat.Q54">#REF!</definedName>
    <definedName name="BvABreakdown.Resultat.Q56">#REF!</definedName>
    <definedName name="BvABreakdown.Resultat.Q58">#REF!</definedName>
    <definedName name="BvABreakdown.Resultat.Q60">#REF!</definedName>
    <definedName name="BvABreakdown.Resultat.Q62">#REF!</definedName>
    <definedName name="BvABreakdown.Resultat.Q64">#REF!</definedName>
    <definedName name="BvABreakdown.Resultat.Q66">#REF!</definedName>
    <definedName name="BvABreakdown.Resultat.Q68">#REF!</definedName>
    <definedName name="BvABreakdown.Resultat.Q70">#REF!</definedName>
    <definedName name="BvABreakdown.Resultat.Q72">#REF!</definedName>
    <definedName name="BvABreakdown.Resultat.Q74">#REF!</definedName>
    <definedName name="BvABreakdown.Resultat.Q76">#REF!</definedName>
    <definedName name="BvABreakdown.Resultat.Q78">#REF!</definedName>
    <definedName name="BvABreakdown.Resultat.Q80">#REF!</definedName>
    <definedName name="BvABreakdown.Resultat.Q82">#REF!</definedName>
    <definedName name="BvABreakdown.Resultat.Q85">#REF!</definedName>
    <definedName name="BvABreakdown.Resultat.Q87">#REF!</definedName>
    <definedName name="BvABreakdown.Resultat.Q92">#REF!</definedName>
    <definedName name="BvABreakdown.Resultat.Q94">#REF!</definedName>
    <definedName name="BvABreakdown.Resultat.Q96">#REF!</definedName>
    <definedName name="BvABreakdown.Resultat.Q98">#REF!</definedName>
    <definedName name="capex">#REF!</definedName>
    <definedName name="CapEx_check">#REF!,#REF!</definedName>
    <definedName name="capexadjustments">#REF!</definedName>
    <definedName name="Capital" hidden="1">#REF!</definedName>
    <definedName name="Cash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1, 1, False, 2, False, False, , 0, False, False, 1, 1"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2, 1, False, 2, True, False, , 0, True, False, 2, 1"</definedName>
    <definedName name="cb_Chart_13_opts" hidden="1">"1, 2, 1, False, 2, True, False, , 0, True, False, 2, 1"</definedName>
    <definedName name="cb_Chart_14_opts" hidden="1">"2, 2, 2, True, 2, False, False, , 0, False, True, 1, 2"</definedName>
    <definedName name="cb_Chart_15_opts" hidden="1">"1, 2, 1, False, 2, True, False, , 0, True, False, 2, 1"</definedName>
    <definedName name="cb_Chart_1501_opts" hidden="1">"1, 10, 1, False, 2, True, False, , 0, False, False, 2, 2"</definedName>
    <definedName name="cb_Chart_16_opts" hidden="1">"1, 2, 1, False, 2, True, False, , 0, True, False, 2, 1"</definedName>
    <definedName name="cb_Chart_1670_opts" hidden="1">"1, 5, 1, False, 2, True, False, , 0, False, False, 2, 1"</definedName>
    <definedName name="cb_Chart_17_opts" hidden="1">"1, 2, 1, False, 2, True, False, , 0, True, False, 2,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1, 1, False, 2, True, False, , 0, False, False, 1, 1"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1,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1, 1, False, 2, False, False, , 0, False, False,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1, 1, False, 2, True,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1, 1, False, 2, True, False, , 0, False, False, 1,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"1, 5, 1, False, 2, True,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3, 1, False, 2, True,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4F668C5_opts" hidden="1">"1, 9, 1, False, 2, False, False, , 0, False, True, 1, 1"</definedName>
    <definedName name="cb_sChart14F68902_opts" hidden="1">"1, 9, 1, False, 2, False, False, , 0, False, True, 1, 1"</definedName>
    <definedName name="cb_sChart1A65F73E_opts" hidden="1">"1, 5, 1, False, 2, True, False, , 0, False, False, 1, 1"</definedName>
    <definedName name="cb_sChart1D887D06_opts" hidden="1">"1, 9, 1, False, 2, False, False, , 0, False, True, 1, 1"</definedName>
    <definedName name="cb_sChart1D8899D3_opts" hidden="1">"1, 9, 1, False, 2, False, False, , 0, False, False, 1, 1"</definedName>
    <definedName name="cb_sChart1D8A1554_opts" hidden="1">"1, 5, 1, False, 2, True, False, , 0, False, False, 1, 1"</definedName>
    <definedName name="cb_sChart1D8A1D31_opts" hidden="1">"1, 5, 1, False, 2, True, False, , 0, False, False, 1, 1"</definedName>
    <definedName name="cb_sChart1D8A27DD_opts" hidden="1">"1, 5, 1, False, 2, True, False, , 0, False, False, 1, 1"</definedName>
    <definedName name="cb_sChart1D8A2B13_opts" hidden="1">"1, 5, 1, False, 2, True, False, , 0, False, False, 1, 1"</definedName>
    <definedName name="cb_sChart2D58AD7_opts" hidden="1">"1, 8, 1, False, 2, False, False, , 0, False, True, 1, 1"</definedName>
    <definedName name="cb_sChart41E9A35_opts" hidden="1">"1, 9, 1, False, 2, False, False, , 0, False, True, 1, 1"</definedName>
    <definedName name="cb_sChart6889462_opts" hidden="1">"1, 1, 1, False, 2, True, False, , 0, False, False, 1, 1"</definedName>
    <definedName name="cb_sChart697439B_opts" hidden="1">"1, 9, 1, False, 2, False, True, , 1, False, True, 1, 1"</definedName>
    <definedName name="cb_sChart697822D_opts" hidden="1">"1, 1, 1, False, 2, True, False, , 0, False, False, 1, 1"</definedName>
    <definedName name="cb_sChart69782DB_opts" hidden="1">"1, 3, 1, False, 2, True, False, , 0, False, True, 1, 1"</definedName>
    <definedName name="cb_sChart773176C_opts" hidden="1">"1, 9, 1, False, 2, False, True, , 1, False, True, 1, 1"</definedName>
    <definedName name="cb_sChart8694853_opts" hidden="1">"1, 1, 1, False, 2, True, False, , 0, False, False, 1, 2"</definedName>
    <definedName name="cb_sChart8696FB4_opts" hidden="1">"1, 1, 1, False, 2, True, False, , 0, False, False, 1, 1"</definedName>
    <definedName name="cb_sChart86970D5_opts" hidden="1">"1, 1, 1, False, 2, True, False, , 0, False, False, 1, 2"</definedName>
    <definedName name="cb_sChart8726105_opts" hidden="1">"1, 9, 1, False, 2, False, True, , 0, False, True, 1, 1"</definedName>
    <definedName name="cb_sChart8726A0F_opts" hidden="1">"1, 9, 1, False, 2, False, True, , 0, False, True, 1, 1"</definedName>
    <definedName name="cb_sChart8930940_opts" hidden="1">"1, 1, 1, False, 2, True, False, , 0, False, False, 1, 1"</definedName>
    <definedName name="cb_sChart89309E2_opts" hidden="1">"1, 1, 1, False, 2, True, False, , 0, False, False, 1, 2"</definedName>
    <definedName name="cb_sChart8943F21_opts" hidden="1">"1, 9, 1, False, 2, False, False, , 0, False, True, 1, 1"</definedName>
    <definedName name="cb_sChart8A2E572_opts" hidden="1">"2, 1, 2, True, 2, False, False, , 0, False, True, 1, 1"</definedName>
    <definedName name="cb_sChart8A2E8ED_opts" hidden="1">"2, 1, 2, True, 2, False, False, , 0, False, True, 1, 1"</definedName>
    <definedName name="cb_sChart8A2EAEB_opts" hidden="1">"2, 1, 2, True, 2, False, False, , 0, False, True, 1, 1"</definedName>
    <definedName name="cb_sChart8A30D0D_opts" hidden="1">"2, 1, 2, True, 2, False, False, , 0, False, True, 1, 1"</definedName>
    <definedName name="cb_sChart8A30F16_opts" hidden="1">"2, 1, 2, True, 2, False, False, , 0, False, True, 1, 1"</definedName>
    <definedName name="cb_sChart8C795F1_opts" hidden="1">"2, 1, 2, True, 2, False, False, , 0, False, True, 1, 1"</definedName>
    <definedName name="cb_sChart8C87817_opts" hidden="1">"2, 1, 2, True, 2, False, False, , 0, False, True, 1, 1"</definedName>
    <definedName name="cb_sChart8C87AFC_opts" hidden="1">"2, 1, 2, True, 2, False, False, , 0, False, True, 1, 1"</definedName>
    <definedName name="cb_sChart8C88FA5_opts" hidden="1">"2, 1, 2, True, 2, False, False, , 0, False, True, 1, 1"</definedName>
    <definedName name="cb_sChart92016E_opts" hidden="1">"1, 9, 1, False, 2, False, False, , 0, False, True, 1, 1"</definedName>
    <definedName name="cb_sChart9FE8159_opts" hidden="1">"1, 9, 1, False, 2, False, True, , 1, False, True, 1, 1"</definedName>
    <definedName name="cb_sChart9FE9B41_opts" hidden="1">"1, 9, 1, False, 2, False, True, , 1, False, True, 1, 1"</definedName>
    <definedName name="cb_sChartA30EDEC_opts" hidden="1">"2, 1, 2, True, 2, False, False, , 0, False, True, 1, 1"</definedName>
    <definedName name="cb_sChartC29620C_opts" hidden="1">"1, 1, 1, False, 2, True, False, , 0, False, False, 1, 2"</definedName>
    <definedName name="cb_sChartC296613_opts" hidden="1">"1, 1, 1, False, 2, True, False, , 0, False, False, 1, 2"</definedName>
    <definedName name="cb_sChartC297AA5_opts" hidden="1">"1, 1, 1, False, 2, True, False, , 0, False, False, 1, 2"</definedName>
    <definedName name="cb_sChartC29B34B_opts" hidden="1">"1, 9, 1, False, 2, False, False, , 0, False, True, 1, 1"</definedName>
    <definedName name="cb_sChartC29EA8B_opts" hidden="1">"1, 1, 1, False, 2, True, False, , 0, False, False, 1, 2"</definedName>
    <definedName name="cb_sChartC29FC95_opts" hidden="1">"1, 1, 1, False, 2, True, False, , 0, False, False, 1, 2"</definedName>
    <definedName name="cb_sChartC2AD8F1_opts" hidden="1">"2, 9, 1, True, 2, False, False, , 0, False, False, 1, 1"</definedName>
    <definedName name="cb_sChartC2ADA06_opts" hidden="1">"1, 9, 1, False, 2, False, False, , 0, False, False, 1, 1"</definedName>
    <definedName name="cb_sChartC2AF61A_opts" hidden="1">"2, 1, 3, True, 2, False, False, , 0, False, True, 1, 1"</definedName>
    <definedName name="cb_sChartC2B0EA7_opts" hidden="1">"2, 1, 3, True, 2, False, False, , 0, False, True, 1, 1"</definedName>
    <definedName name="cb_sChartC2B1414_opts" hidden="1">"2, 1, 3, True, 2, False, False, , 0, False, True, 1, 1"</definedName>
    <definedName name="cb_sChartC2B1DD8_opts" hidden="1">"2, 1, 3, True, 2, False, False, , 0, False, True, 1, 1"</definedName>
    <definedName name="cb_sChartC300DC4_opts" hidden="1">"1, 9, 1, False, 2, False, False, , 0, False, True, 1, 1"</definedName>
    <definedName name="cb_sChartDAF58B0_opts" hidden="1">"1, 9, 1, False, 2, False, False, , 0, False, True, 1, 1"</definedName>
    <definedName name="cb_sChartDAF7A8D_opts" hidden="1">"1, 9, 1, False, 2, False, False, , 0, False, True, 1, 1"</definedName>
    <definedName name="cb_sChartE55C230_opts" hidden="1">"1, 9, 1, False, 2, False, False, , 0, False, True, 1, 1"</definedName>
    <definedName name="cb_sChartE57A4FF_opts" hidden="1">"1, 1, 1, False, 2, True, False, , 0, False, False, 1, 1"</definedName>
    <definedName name="cb_sChartE57C3B2_opts" hidden="1">"1, 1, 1, False, 2, True, False, , 0, False, False, 1, 1"</definedName>
    <definedName name="cb_sChartE57D120_opts" hidden="1">"1, 1, 1, False, 2, True, False, , 0, False, False, 1, 1"</definedName>
    <definedName name="cb_sChartE5805B4_opts" hidden="1">"1, 1, 1, False, 2, True, False, , 0, False, False, 1, 1"</definedName>
    <definedName name="cb_sChartE58A23A_opts" hidden="1">"1, 1, 1, False, 2, True, False, , 0, False, False, 1, 1"</definedName>
    <definedName name="cb_sChartEB554A6_opts" hidden="1">"1, 1, 1, False, 2, True, False, , 0, False, False, 1, 1"</definedName>
    <definedName name="cb_sChartEB5725A_opts" hidden="1">"1, 1, 1, False, 2, True, False, , 0, False, False, 1, 1"</definedName>
    <definedName name="cb_sChartEC05450_opts" hidden="1">"1, 1, 1, False, 2, True, False, , 0, False, False, 1, 1"</definedName>
    <definedName name="cb_sChartEC05DCF_opts" hidden="1">"1, 1, 1, False, 2, True, False, , 0, False, False, 1, 1"</definedName>
    <definedName name="cb_sChartEC3AF3D_opts" hidden="1">"1, 1, 1, False, 2, True, False, , 0, False, False,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C">CELL("contents")</definedName>
    <definedName name="ccc" hidden="1">{#N/A,#N/A,FALSE,"Aging Summary";#N/A,#N/A,FALSE,"Ratio Analysis";#N/A,#N/A,FALSE,"Test 120 Day Accts";#N/A,#N/A,FALSE,"Tickmarks"}</definedName>
    <definedName name="ccgh" hidden="1">{"solldruck1",#N/A,TRUE,"SOLLIST"}</definedName>
    <definedName name="check2" hidden="1">{#N/A,#N/A,FALSE,"Cashflow Analysis";#N/A,#N/A,FALSE,"Sensitivity Analysis";#N/A,#N/A,FALSE,"PV";#N/A,#N/A,FALSE,"Pro Forma"}</definedName>
    <definedName name="chrt12" hidden="1">{"CHART3A",#N/A,FALSE,"CHART12"}</definedName>
    <definedName name="CIQWBGuid" hidden="1">"SVF - AM Model - 2020Q3 v06beta  - Korsberga_vSH - V3.xlsb"</definedName>
    <definedName name="CloseOnGoto">"Yes"</definedName>
    <definedName name="cmpSpoolPath">"C:\Program Files\Symtrax\Compleo\Temp\00000000.txt"</definedName>
    <definedName name="Country">#REF!</definedName>
    <definedName name="CurrentQuarter">#REF!</definedName>
    <definedName name="Cwvu.WAT." hidden="1">#REF!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{"'KCF Bellies'!$D$95"}</definedName>
    <definedName name="DAFAD" hidden="1">{"cap_structure",#N/A,FALSE,"Graph-Mkt Cap";"price",#N/A,FALSE,"Graph-Price";"ebit",#N/A,FALSE,"Graph-EBITDA";"ebitda",#N/A,FALSE,"Graph-EBITDA"}</definedName>
    <definedName name="DCF_PRINT_AREA_1">#REF!</definedName>
    <definedName name="DCF_PRINT_AREA_2">#REF!</definedName>
    <definedName name="DCF_PRINT_AREA_3">#REF!</definedName>
    <definedName name="dd" hidden="1">{"CF",#N/A,FALSE,"Cash Flow";"RET",#N/A,FALSE,"Returns";"NPV",#N/A,FALSE,"Values";"ASMPT",#N/A,FALSE,"Assumptions"}</definedName>
    <definedName name="DDD" hidden="1">{"'pxs'!$A$1:$V$100"}</definedName>
    <definedName name="dddddd" hidden="1">{#N/A,#N/A,FALSE,"CAPREIT"}</definedName>
    <definedName name="ddddddd" hidden="1">{#N/A,#N/A,FALSE,"CAPREIT"}</definedName>
    <definedName name="ddlist">#REF!</definedName>
    <definedName name="Deposita">"Deposita"</definedName>
    <definedName name="detail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fgd" hidden="1">{#N/A,#N/A,FALSE,"Cashflow Analysis";#N/A,#N/A,FALSE,"Sensitivity Analysis";#N/A,#N/A,FALSE,"PV";#N/A,#N/A,FALSE,"Pro Forma"}</definedName>
    <definedName name="dgf" hidden="1">{"RetSum1",#N/A,FALSE,"Returns Summary";"RetSum2",#N/A,FALSE,"Returns Summary"}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isposal_costs">#REF!</definedName>
    <definedName name="Disposal_fee">#REF!</definedName>
    <definedName name="done" hidden="1">{#N/A,#N/A,FALSE,"CONTROL"}</definedName>
    <definedName name="dsdas" hidden="1">{#N/A,#N/A,FALSE,"Aging Summary";#N/A,#N/A,FALSE,"Ratio Analysis";#N/A,#N/A,FALSE,"Test 120 Day Accts";#N/A,#N/A,FALSE,"Tickmarks"}</definedName>
    <definedName name="DVAktivitetNavn">-7</definedName>
    <definedName name="DVAktivitetNr">-6</definedName>
    <definedName name="DVBygningsdelNavn">-2</definedName>
    <definedName name="DVBygningsdelnr">-1</definedName>
    <definedName name="DVHovedGruppeNavn">-4</definedName>
    <definedName name="DVHovedGruppeNr">-3</definedName>
    <definedName name="dzdz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ef" hidden="1">#REF!</definedName>
    <definedName name="Effective_Interest_Rate">15</definedName>
    <definedName name="equivYield">#REF!</definedName>
    <definedName name="EQY">#REF!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ag" hidden="1">#REF!</definedName>
    <definedName name="erg" hidden="1">#REF!</definedName>
    <definedName name="Erhvervsleje">"Erhvervsleje"</definedName>
    <definedName name="esrg" hidden="1">#REF!</definedName>
    <definedName name="ettan">#REF!</definedName>
    <definedName name="ev.Calculation" hidden="1">-4135</definedName>
    <definedName name="ev.Initialized" hidden="1">FALSE()</definedName>
    <definedName name="EV__LASTREFTIME__" hidden="1">39583.5834837963</definedName>
    <definedName name="EventsMatrix">#REF!</definedName>
    <definedName name="Example_DCF">#REF!</definedName>
    <definedName name="Executive_summary">#REF!</definedName>
    <definedName name="external" hidden="1">{#N/A,#N/A,FALSE,"SC1";#N/A,#N/A,FALSE,"SC5";#N/A,#N/A,FALSE,"SC10";#N/A,#N/A,FALSE,"SC11";#N/A,#N/A,FALSE,"SC12";#N/A,#N/A,FALSE,"SC13";#N/A,#N/A,FALSE,"SC14";#N/A,#N/A,FALSE,"SC15";#N/A,#N/A,FALSE,"SC21";#N/A,#N/A,FALSE,"SC90";#N/A,#N/A,FALSE,"Oscar";#N/A,#N/A,FALSE,"Checklist"}</definedName>
    <definedName name="external1" hidden="1">{#N/A,#N/A,FALSE,"SC1";#N/A,#N/A,FALSE,"SC5";#N/A,#N/A,FALSE,"SC10";#N/A,#N/A,FALSE,"SC11";#N/A,#N/A,FALSE,"SC12";#N/A,#N/A,FALSE,"SC13";#N/A,#N/A,FALSE,"SC14";#N/A,#N/A,FALSE,"SC15";#N/A,#N/A,FALSE,"SC21";#N/A,#N/A,FALSE,"SC90";#N/A,#N/A,FALSE,"Oscar";#N/A,#N/A,FALSE,"Checklist"}</definedName>
    <definedName name="extra">#REF!</definedName>
    <definedName name="_xlnm.Extract">#REF!</definedName>
    <definedName name="F" hidden="1">{#N/A,#N/A,FALSE,"Aging Summary";#N/A,#N/A,FALSE,"Ratio Analysis";#N/A,#N/A,FALSE,"Test 120 Day Accts";#N/A,#N/A,FALSE,"Tickmarks"}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CDef" hidden="1">{#N/A,#N/A,FALSE,"Aging Summary";#N/A,#N/A,FALSE,"Ratio Analysis";#N/A,#N/A,FALSE,"Test 120 Day Accts";#N/A,#N/A,FALSE,"Tickmarks"}</definedName>
    <definedName name="fdfdfd" hidden="1">{#N/A,#N/A,FALSE,"CAPREIT"}</definedName>
    <definedName name="fdfdfdf" hidden="1">{#N/A,#N/A,FALSE,"CAPREIT"}</definedName>
    <definedName name="fdfdgfd" hidden="1">{"'pxs'!$A$1:$V$100"}</definedName>
    <definedName name="fdgad" hidden="1">{"inputs raw data",#N/A,TRUE,"INPUT"}</definedName>
    <definedName name="femman">#REF!</definedName>
    <definedName name="ff">{"Price","UOUT","LC125","N","0","0","H"}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FF" hidden="1">{#N/A,#N/A,FALSE,"Aging Summary";#N/A,#N/A,FALSE,"Ratio Analysis";#N/A,#N/A,FALSE,"Test 120 Day Accts";#N/A,#N/A,FALSE,"Tickmarks"}</definedName>
    <definedName name="ffffffffffffff" hidden="1">{#N/A,#N/A,FALSE,"Aging Summary";#N/A,#N/A,FALSE,"Ratio Analysis";#N/A,#N/A,FALSE,"Test 120 Day Accts";#N/A,#N/A,FALSE,"Tickmarks"}</definedName>
    <definedName name="fg" hidden="1">{"schedule1",#N/A,FALSE,"Sheet1";"schedule2",#N/A,FALSE,"Sheet1";"schedule3",#N/A,FALSE,"Sheet1";"schedule4",#N/A,FALSE,"Sheet1";"schedule5",#N/A,FALSE,"Sheet1";"schedule6",#N/A,FALSE,"Sheet1"}</definedName>
    <definedName name="fgtgopa" hidden="1">{"Pulp Production",#N/A,FALSE,"Pulp";"Pulp Earnings",#N/A,FALSE,"Pulp"}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ne" hidden="1">{"Binder",#N/A,FALSE,"VARIANCES";"Binder",#N/A,FALSE,"DEPR";"Binder",#N/A,FALSE,"BAD DEBTS";"Binder",#N/A,FALSE,"ARrec";"Binder",#N/A,FALSE,"RECOVER";"Binder",#N/A,FALSE,"CAM DEPR";"Binder",#N/A,FALSE,"%RENT";"Binder",#N/A,FALSE,"NEWFASB";"Binder",#N/A,FALSE,"UNOREC CALC";"Binder",#N/A,FALSE,"MIE CALC";"Binder",#N/A,FALSE,"AMORT";"Binder",#N/A,FALSE,"6%LSE TEST";"Binder",#N/A,FALSE,"TI DETAIL";"Binder",#N/A,FALSE,"OTHER ASSETS";"Binder",#N/A,FALSE,"INTERCO";"Binder",#N/A,FALSE,"MGMT FEE";"Binder",#N/A,FALSE,"CIP INTEREST";"Binder",#N/A,FALSE,"CIP";"Binder",#N/A,FALSE,"RE TAXES";"Binder",#N/A,FALSE,"PAYROLL";"Binder",#N/A,FALSE,"OTHER LIAB";"Binder",#N/A,FALSE,"EQUITY"}</definedName>
    <definedName name="First_YrCapEX">#REF!</definedName>
    <definedName name="flag">#REF!</definedName>
    <definedName name="Fläkt">#REF!</definedName>
    <definedName name="fm" hidden="1">{"summary1",#N/A,TRUE,"Comps";"summary2",#N/A,TRUE,"Comps";"summary3",#N/A,TRUE,"Comps"}</definedName>
    <definedName name="fnwio" hidden="1">#REF!</definedName>
    <definedName name="footnote">#N/A</definedName>
    <definedName name="Forsikringer">"Forsikringer"</definedName>
    <definedName name="Forudbet">"Forudbet"</definedName>
    <definedName name="FP">FIND("|", CC)</definedName>
    <definedName name="fr" hidden="1">#REF!</definedName>
    <definedName name="fred">#REF!</definedName>
    <definedName name="frer">#REF!</definedName>
    <definedName name="fsdfsdfsdfsd" hidden="1">{#N/A,#N/A,FALSE,"Aging Summary";#N/A,#N/A,FALSE,"Ratio Analysis";#N/A,#N/A,FALSE,"Test 120 Day Accts";#N/A,#N/A,FALSE,"Tickmarks"}</definedName>
    <definedName name="fu" hidden="1">{"CHART3A",#N/A,FALSE,"CHART12"}</definedName>
    <definedName name="fyran">#REF!</definedName>
    <definedName name="g4e" hidden="1">#REF!</definedName>
    <definedName name="garanti">"garanti"</definedName>
    <definedName name="GAV">#REF!</definedName>
    <definedName name="GB" hidden="1">{"Cover",#N/A,FALSE,"Cover";"Summary",#N/A,FALSE,"Summarpage"}</definedName>
    <definedName name="ge" hidden="1">#REF!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eorge" hidden="1">{"'pxs'!$A$1:$V$100"}</definedName>
    <definedName name="ger" hidden="1">#REF!</definedName>
    <definedName name="gfhhi" hidden="1">{"Cover",#N/A,FALSE,"Cover";"Summary",#N/A,FALSE,"Summarpage"}</definedName>
    <definedName name="gfhs" hidden="1">{"summary1",#N/A,TRUE,"Comps";"summary2",#N/A,TRUE,"Comps";"summary3",#N/A,TRUE,"Comps"}</definedName>
    <definedName name="gg" hidden="1">{#N/A,#N/A,FALSE,"Cashflow Analysis";#N/A,#N/A,FALSE,"Sensitivity Analysis";#N/A,#N/A,FALSE,"PV";#N/A,#N/A,FALSE,"Pro Forma"}</definedName>
    <definedName name="gg.2" hidden="1">{#N/A,#N/A,FALSE,"Cashflow Analysis";#N/A,#N/A,FALSE,"Sensitivity Analysis";#N/A,#N/A,FALSE,"PV";#N/A,#N/A,FALSE,"Pro Forma"}</definedName>
    <definedName name="ggggggg" hidden="1">#REF!</definedName>
    <definedName name="ghd" hidden="1">#REF!</definedName>
    <definedName name="ghdghd">#REF!</definedName>
    <definedName name="gjkdsbftke" hidden="1">#REF!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m" hidden="1">{"'KCF Bellies'!$D$95"}</definedName>
    <definedName name="gma" hidden="1">{"'KCF Bellies'!$D$95"}</definedName>
    <definedName name="grd" hidden="1">#REF!</definedName>
    <definedName name="Gross_disposal_proceeds">#REF!</definedName>
    <definedName name="Gross_rental_income">#REF!</definedName>
    <definedName name="hallo2">#N/A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lår">#REF!</definedName>
    <definedName name="hghg">#REF!</definedName>
    <definedName name="HH" hidden="1">{"'pxs'!$A$1:$V$100"}</definedName>
    <definedName name="hhh" hidden="1">{"'pxs'!$A$1:$V$100"}</definedName>
    <definedName name="hhhhh" hidden="1">#REF!</definedName>
    <definedName name="HHHHHH" hidden="1">{#N/A,#N/A,FALSE,"Aging Summary";#N/A,#N/A,FALSE,"Ratio Analysis";#N/A,#N/A,FALSE,"Test 120 Day Accts";#N/A,#N/A,FALSE,"Tickmarks"}</definedName>
    <definedName name="Historic_Trading_Performance">#REF!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ModelVersion" hidden="1">1</definedName>
    <definedName name="hn.NoUpload" hidden="1">0</definedName>
    <definedName name="HTML_CodePage" hidden="1">1252</definedName>
    <definedName name="HTML_Control" hidden="1">{"'KCF Bellies'!$D$95"}</definedName>
    <definedName name="html_control2" hidden="1">{"'FRONT'!$B$3:$N$29"}</definedName>
    <definedName name="HTML_Description" hidden="1">""</definedName>
    <definedName name="HTML_Email" hidden="1">""</definedName>
    <definedName name="HTML_Header" hidden="1">"KCF Bellies"</definedName>
    <definedName name="HTML_LastUpdate" hidden="1">"11/10/00"</definedName>
    <definedName name="HTML_LineAfter" hidden="1">FALSE()</definedName>
    <definedName name="HTML_LineBefore" hidden="1">FALSE()</definedName>
    <definedName name="HTML_Name" hidden="1">"*"</definedName>
    <definedName name="HTML_OBDlg2" hidden="1">TRUE()</definedName>
    <definedName name="HTML_OBDlg4" hidden="1">TRUE()</definedName>
    <definedName name="HTML_OS" hidden="1">0</definedName>
    <definedName name="HTML_PathFile" hidden="1">"E:\My Documents\Jerry 2001\MyHTML.htm"</definedName>
    <definedName name="HTML_Title" hidden="1">"Skin Turnover Summary"</definedName>
    <definedName name="hy" hidden="1">{"Binder",#N/A,FALSE,"VARIANCES";"Binder",#N/A,FALSE,"DEPR";"Binder",#N/A,FALSE,"BAD DEBTS";"Binder",#N/A,FALSE,"ARrec";"Binder",#N/A,FALSE,"RECOVER";"Binder",#N/A,FALSE,"CAM DEPR";"Binder",#N/A,FALSE,"%RENT";"Binder",#N/A,FALSE,"NEWFASB";"Binder",#N/A,FALSE,"UNOREC CALC";"Binder",#N/A,FALSE,"MIE CALC";"Binder",#N/A,FALSE,"AMORT";"Binder",#N/A,FALSE,"6%LSE TEST";"Binder",#N/A,FALSE,"TI DETAIL";"Binder",#N/A,FALSE,"OTHER ASSETS";"Binder",#N/A,FALSE,"INTERCO";"Binder",#N/A,FALSE,"MGMT FEE";"Binder",#N/A,FALSE,"CIP INTEREST";"Binder",#N/A,FALSE,"CIP";"Binder",#N/A,FALSE,"RE TAXES";"Binder",#N/A,FALSE,"PAYROLL";"Binder",#N/A,FALSE,"OTHER LIAB";"Binder",#N/A,FALSE,"EQUITY"}</definedName>
    <definedName name="IM_disposal_fees">#REF!</definedName>
    <definedName name="Income" hidden="1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  <definedName name="INDEX">#REF!</definedName>
    <definedName name="Input4">#REF!</definedName>
    <definedName name="inves" hidden="1">{"tableau a",#N/A,FALSE,"Feuil3";"tableau b",#N/A,FALSE,"Feuil3"}</definedName>
    <definedName name="inves." hidden="1">{"tableau a",#N/A,FALSE,"Feuil3";"tableau b",#N/A,FALSE,"Feuil3"}</definedName>
    <definedName name="invest." hidden="1">{"tableau a",#N/A,FALSE,"Feuil3";"tableau b",#N/A,FALSE,"Feuil3"}</definedName>
    <definedName name="Investeringar">#REF!</definedName>
    <definedName name="ioöpiuopö" hidden="1">{#N/A,#N/A,TRUE,"10 Yr Hold";#N/A,#N/A,TRUE,"7 Yr Hold";#N/A,#N/A,TRUE,"5 Yr Hold";#N/A,#N/A,TRUE,"3 Yr Hold"}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40659.5660185185</definedName>
    <definedName name="IQ_NAMES_REVISION_DATE__1" hidden="1">"06/11/2020 09:02:54"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39337.6540277778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uhiuhikb" hidden="1">{"'FRONT'!$B$3:$N$29"}</definedName>
    <definedName name="J_102" hidden="1">{#N/A,#N/A,FALSE,"DECKBLATT";#N/A,#N/A,FALSE,"IUF";#N/A,#N/A,FALSE,"INVEST_E";#N/A,#N/A,FALSE,"FINANZ_E";#N/A,#N/A,FALSE,"ZWIFI";#N/A,#N/A,FALSE,"ZAHLPLAN";#N/A,#N/A,FALSE,"STEUERN";#N/A,#N/A,FALSE,"LIQUIDITÄT";#N/A,#N/A,FALSE,"AFA_BMG";#N/A,#N/A,FALSE,"VSt-Schlüssel";#N/A,#N/A,FALSE,"BEWIRT-E";#N/A,#N/A,FALSE,"MIETEN";#N/A,#N/A,FALSE,"DARLEHEN_I";#N/A,#N/A,FALSE,"Beisp-2001";#N/A,#N/A,FALSE,"beisp_3a(00)";#N/A,#N/A,FALSE,"beisp_3b(00)";#N/A,#N/A,FALSE,"beisp_3c(00)";#N/A,#N/A,FALSE,"beisp_3d(00)"}</definedName>
    <definedName name="jb" hidden="1">{"summary1",#N/A,TRUE,"Comps";"summary2",#N/A,TRUE,"Comps";"summary3",#N/A,TRUE,"Comps"}</definedName>
    <definedName name="JJ" hidden="1">{#N/A,#N/A,FALSE,"Leasing 6A"}</definedName>
    <definedName name="jjjj">#REF!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l" hidden="1">#REF!</definedName>
    <definedName name="jseopij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Julie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just">#REF!</definedName>
    <definedName name="jz" hidden="1">#REF!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ite" hidden="1">{"FCB_ALL",#N/A,FALSE,"FCB";"GREY_ALL",#N/A,FALSE,"GREY"}</definedName>
    <definedName name="kjdfnhglñvsnhdñlgn" hidden="1">#REF!</definedName>
    <definedName name="kjj" hidden="1">binary</definedName>
    <definedName name="Konto">#REF!</definedName>
    <definedName name="KontoTbl">#REF!</definedName>
    <definedName name="KontoTbl_1180">#REF!</definedName>
    <definedName name="KontoTbl_1180Z">#REF!</definedName>
    <definedName name="KontoTbl_4610">#REF!</definedName>
    <definedName name="KontoTbl_4710">#REF!</definedName>
    <definedName name="Kvm">#REF!</definedName>
    <definedName name="KVMbeløbsgrænse1">#REF!</definedName>
    <definedName name="KVMbeløbsgrænse2">#REF!</definedName>
    <definedName name="KVMbeløbsgrænse3">#REF!</definedName>
    <definedName name="KVMbeløbsgrænse4">#REF!</definedName>
    <definedName name="lagenheter">#REF!</definedName>
    <definedName name="Last_Row">IF(Values_Entered,header_row+number_of_payments,header_row)</definedName>
    <definedName name="lastsavedate">#REF!</definedName>
    <definedName name="LCurr">#REF!</definedName>
    <definedName name="limcount" hidden="1">1</definedName>
    <definedName name="LMG_BRUT">#REF!</definedName>
    <definedName name="loa">#REF!</definedName>
    <definedName name="Loan_Description">4</definedName>
    <definedName name="loyer_variable">#REF!</definedName>
    <definedName name="MAll">#REF!</definedName>
    <definedName name="malperiod">#REF!</definedName>
    <definedName name="marché" hidden="1">{"tableau a",#N/A,FALSE,"Feuil3";"tableau b",#N/A,FALSE,"Feuil3"}</definedName>
    <definedName name="mcs03g.ReqArray">{"Price","UOUT","LC125","N","0","0","H"}</definedName>
    <definedName name="metric">#N/A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Nbeløbsgrænse">#REF!</definedName>
    <definedName name="MKT" hidden="1">{"Binder",#N/A,FALSE,"VARIANCES";"Binder",#N/A,FALSE,"DEPR";"Binder",#N/A,FALSE,"BAD DEBTS";"Binder",#N/A,FALSE,"ARrec";"Binder",#N/A,FALSE,"RECOVER";"Binder",#N/A,FALSE,"CAM DEPR";"Binder",#N/A,FALSE,"%RENT";"Binder",#N/A,FALSE,"NEWFASB";"Binder",#N/A,FALSE,"UNOREC CALC";"Binder",#N/A,FALSE,"MIE CALC";"Binder",#N/A,FALSE,"AMORT";"Binder",#N/A,FALSE,"6%LSE TEST";"Binder",#N/A,FALSE,"TI DETAIL";"Binder",#N/A,FALSE,"OTHER ASSETS";"Binder",#N/A,FALSE,"INTERCO";"Binder",#N/A,FALSE,"MGMT FEE";"Binder",#N/A,FALSE,"CIP INTEREST";"Binder",#N/A,FALSE,"CIP";"Binder",#N/A,FALSE,"RE TAXES";"Binder",#N/A,FALSE,"PAYROLL";"Binder",#N/A,FALSE,"OTHER LIAB";"Binder",#N/A,FALSE,"EQUITY"}</definedName>
    <definedName name="mm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odel_start_date">#REF!</definedName>
    <definedName name="Moms">#REF!</definedName>
    <definedName name="mp" hidden="1">{"LGL",#N/A,FALSE,"VARIANCES";"LGL",#N/A,FALSE,"DEPR";"LGL",#N/A,FALSE,"ARrec";"LGL",#N/A,FALSE,"RECOVERIES";"LGL",#N/A,FALSE,"CAMDEP";"LGL",#N/A,FALSE,"RESERVES";"LGL",#N/A,FALSE,"NEWFASB";"LGL",#N/A,FALSE,"OVERAGE";"LGL",#N/A,FALSE,"NEW%DETAIL";"LGL",#N/A,FALSE,"AMORT";"LGL",#N/A,FALSE,"LEASETEST";"LGL",#N/A,FALSE,"TIREC";"LGL",#N/A,FALSE,"INSURANCE";"LGL",#N/A,FALSE,"OtherAssets";"LGL",#N/A,FALSE,"LOAN";"LGL",#N/A,FALSE,"Interco";"LGL",#N/A,FALSE,"MGMT FEE";"LGL",#N/A,FALSE,"LOAN";"LGL",#N/A,FALSE,"CIP";"LGL",#N/A,FALSE,"00TAX";"LGL",#N/A,FALSE,"PAYACCR";"LGL",#N/A,FALSE,"OtherLiab";"LGL",#N/A,FALSE,"EQUITY"}</definedName>
    <definedName name="MvardeU">#REF!</definedName>
    <definedName name="N1ConditionsofSale">"Listing"</definedName>
    <definedName name="N1DBConditions_of_Sale">"NA, Appraisal Record"</definedName>
    <definedName name="N1DBDays_on_Market">"NA, Appraisal Record"</definedName>
    <definedName name="N1DBFinancing">"NA, Appraisal Record"</definedName>
    <definedName name="N1DBGrantee">"NA, Appraisal Record"</definedName>
    <definedName name="N1DBPrice">"0"</definedName>
    <definedName name="N1DBTransaction_Type">"Appraisal"</definedName>
    <definedName name="N1DBVerification_Source">"Appraisal File"</definedName>
    <definedName name="N1Engine">"N1 Engine"</definedName>
    <definedName name="N1Financing">"NA, Listing"</definedName>
    <definedName name="N1Grantee">"NA, Listing"</definedName>
    <definedName name="NES" hidden="1">{#N/A,#N/A,FALSE,"Amort";#N/A,#N/A,FALSE,"Eng h. bilan"}</definedName>
    <definedName name="nfewlk" hidden="1">#REF!</definedName>
    <definedName name="nfkilenwsklr" hidden="1">#REF!</definedName>
    <definedName name="nfkilwnf" hidden="1">main.sapf4help()</definedName>
    <definedName name="nfklwenf" hidden="1">#REF!</definedName>
    <definedName name="nifsnine" hidden="1">#REF!</definedName>
    <definedName name="nkl" hidden="1">{"solldruck1",#N/A,TRUE,"SOLLIST"}</definedName>
    <definedName name="nkswlner" hidden="1">#REF!</definedName>
    <definedName name="nn" hidden="1">{"'KCF Bellies'!$D$95"}</definedName>
    <definedName name="nnn" hidden="1">{"'pxs'!$A$1:$V$100"}</definedName>
    <definedName name="nnnn" hidden="1">{#N/A,#N/A,FALSE,"Aging Summary";#N/A,#N/A,FALSE,"Ratio Analysis";#N/A,#N/A,FALSE,"Test 120 Day Accts";#N/A,#N/A,FALSE,"Tickmarks"}</definedName>
    <definedName name="NOI">#REF!</definedName>
    <definedName name="NOIA">#REF!</definedName>
    <definedName name="nol">{"page 1";"page 2";"notes";"summary"}</definedName>
    <definedName name="none" hidden="1">{#N/A,#N/A,FALSE,"Recovery Calcs"}</definedName>
    <definedName name="NoOfPropertiesCurrent">#REF!</definedName>
    <definedName name="NoOfPropertiesPrevious">#REF!</definedName>
    <definedName name="NoOfTenantsCurrent">#REF!</definedName>
    <definedName name="NoOfTenantsPrevious">#REF!</definedName>
    <definedName name="NRCs">#REF!</definedName>
    <definedName name="NRF_Income" hidden="1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  <definedName name="o" hidden="1">{"Pulp Production",#N/A,FALSE,"Pulp";"Pulp Earnings",#N/A,FALSE,"Pulp"}</definedName>
    <definedName name="objekt">#REF!</definedName>
    <definedName name="OLIVIER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Operating_Expense_Projections">#REF!</definedName>
    <definedName name="Other" hidden="1">main.sapf4help()</definedName>
    <definedName name="OTHER_INCOME">#REF!</definedName>
    <definedName name="output1">#REF!</definedName>
    <definedName name="output2">#REF!</definedName>
    <definedName name="Outturn" hidden="1">{#N/A,#N/A,FALSE,"SC1";#N/A,#N/A,FALSE,"SC5";#N/A,#N/A,FALSE,"SC10";#N/A,#N/A,FALSE,"SC11";#N/A,#N/A,FALSE,"SC12";#N/A,#N/A,FALSE,"SC13";#N/A,#N/A,FALSE,"SC14";#N/A,#N/A,FALSE,"SC15";#N/A,#N/A,FALSE,"SC21";#N/A,#N/A,FALSE,"SC90";#N/A,#N/A,FALSE,"Oscar";#N/A,#N/A,FALSE,"Checklist"}</definedName>
    <definedName name="ØvrigeIndtægter">"ØvrigeIndtægter"</definedName>
    <definedName name="ØvrigeUdgifter">"ØvrigeUdgifter"</definedName>
    <definedName name="Pal_Workbook_GUID" hidden="1">"5A7ICQU6D3ELU6KC85UXHSRW"</definedName>
    <definedName name="Payment_Date">DATE(YEAR(loan_start),MONTH(loan_start)+payment_number,DAY(loan_start))</definedName>
    <definedName name="pky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ppp" hidden="1">{"Cover",#N/A,FALSE,"Cover";"Summary",#N/A,FALSE,"Summarpage"}</definedName>
    <definedName name="Premium">12</definedName>
    <definedName name="PreviousQuarter">#REF!</definedName>
    <definedName name="Print_Area_Reset">OFFSET(full_print,0,0,Last_Row)</definedName>
    <definedName name="Print_Area3">#REF!</definedName>
    <definedName name="ProcentFormel">IF(OR(#REF!=0,#REF!=0),SIGN(#REF!)*1,#REF!/#REF!*SIGN(#REF!))</definedName>
    <definedName name="Project_Name">#REF!</definedName>
    <definedName name="Q" hidden="1">{"'KCF Bellies'!$D$95"}</definedName>
    <definedName name="Q_E">#REF!</definedName>
    <definedName name="qq" hidden="1">{"'pxs'!$A$1:$V$100"}</definedName>
    <definedName name="qqq" hidden="1">{#N/A,#N/A,TRUE,"BS";#N/A,#N/A,TRUE,"P&amp;L";#N/A,#N/A,TRUE,"An-P&amp;L";#N/A,#N/A,TRUE,"Expenses";#N/A,#N/A,TRUE,"An-Expenses";#N/A,#N/A,TRUE,"PROJECT";#N/A,#N/A,TRUE,"F.A.E";#N/A,#N/A,TRUE,"PCA";#N/A,#N/A,TRUE,"FNP ";#N/A,#N/A,TRUE,"CCA ";#N/A,#N/A,TRUE,"RECEI";#N/A,#N/A,TRUE,"CHQ REC";#N/A,#N/A,TRUE,"LIV TIERS";#N/A,#N/A,TRUE,"BANQ"}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w" hidden="1">#REF!</definedName>
    <definedName name="qweqweqw" hidden="1">{"schedule1",#N/A,FALSE,"Sheet1";"schedule2",#N/A,FALSE,"Sheet1";"schedule3",#N/A,FALSE,"Sheet1";"schedule4",#N/A,FALSE,"Sheet1";"schedule5",#N/A,FALSE,"Sheet1";"schedule6",#N/A,FALSE,"Sheet1"}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nor" hidden="1">binary</definedName>
    <definedName name="re" hidden="1">#REF!</definedName>
    <definedName name="RealÅr2">5</definedName>
    <definedName name="RealDÅ">2</definedName>
    <definedName name="RealSÅ">4</definedName>
    <definedName name="Region">#REF!</definedName>
    <definedName name="Rente_1">#REF!</definedName>
    <definedName name="Rente_2">#REF!</definedName>
    <definedName name="Rente_3">#REF!</definedName>
    <definedName name="Rente_4">#REF!</definedName>
    <definedName name="Rente_500">#REF!</definedName>
    <definedName name="rente_550">#REF!</definedName>
    <definedName name="Rente_675">#REF!</definedName>
    <definedName name="RenteBank">#REF!</definedName>
    <definedName name="RentesikredeLån">#REF!</definedName>
    <definedName name="RenteTilknyttParter">#REF!</definedName>
    <definedName name="ReportCreated">TRUE()</definedName>
    <definedName name="Residu" hidden="1">{#N/A,#N/A,TRUE,"Summary";"AnnualRentRoll",#N/A,TRUE,"RentRoll";#N/A,#N/A,TRUE,"ExitStratigy";#N/A,#N/A,TRUE,"OperatingAssumptions"}</definedName>
    <definedName name="restgæld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FALSE()</definedName>
    <definedName name="RiskMonitorConvergence" hidden="1">FALSE()</definedName>
    <definedName name="RiskMultipleCPUSupportEnabled" hidden="1">TRUE()</definedName>
    <definedName name="RiskNumIterations" hidden="1">200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TRUE()</definedName>
    <definedName name="Riverway" hidden="1">{"Table of Contents",#N/A,FALSE,"Table of Contents";"Assumptions Checklist",#N/A,FALSE,"Projected Acq_Dis";"Yearly Assumptions",#N/A,FALSE,"Other Assumptions";"Annual Summary",#N/A,FALSE,"Summary";"1999 by Quarter Summary",#N/A,FALSE,"Summary";"2000 by Quarter Summary",#N/A,FALSE,"Summary";"Contribution to FFO",#N/A,FALSE,"CONT SUMMARY";"Contribution to FFO-Acq. &amp; Disp.",#N/A,FALSE,"CONT SUMMARY";"Contribution to FFO-Developments",#N/A,FALSE,"CONT SUMMARY";"Pivot Table Pro-Forma",#N/A,FALSE,"Pivot Table Proforma";"Pivot Table-Dispositions",#N/A,FALSE,"Pivot Table Dispositions";"Development Cash Flows",#N/A,FALSE,"Development Cash Flows";"Income from JVs",#N/A,FALSE,"Income from JV's";"Fee Income",#N/A,FALSE,"Fees noncombined affiliates";"Interest Income",#N/A,FALSE,"Interest Income";"Unsecured Debentures",#N/A,FALSE,"Unsecured Debentures";"secured interest",#N/A,FALSE,"Secured Existing Interest Pivot";"Extended Secured Debt",#N/A,FALSE,"Extended Secured Debt";"Capitalized Interest",#N/A,FALSE,"Capitalized Interest";"Secured Existing Debt",#N/A,FALSE,"Secured Existing Debt";"Secured Debt-Refinanced",#N/A,FALSE,"Secured Debt Refinanced";"principal payments",#N/A,FALSE,"Secured PrincPay Pivot";"Covenant Ratios",#N/A,FALSE,"Covenant Ratios";"Covenant Calculation",#N/A,FALSE,"Covenant Calculations";"Margins",#N/A,FALSE,"Margins";"GAAP to TAX",#N/A,FALSE,"GAAP to TAX";"Net Free CF-Paydown",#N/A,FALSE,"Net Free CF Revolver Paydown";"CAPX",#N/A,FALSE,"CAP X";"Balance Sheet",#N/A,FALSE,"Balance Sheet";"BSA99",#N/A,FALSE,"Balance Sheet Analysis";"BSA2000",#N/A,FALSE,"Balance Sheet Analysis";"BSA2001",#N/A,FALSE,"Balance Sheet Analysis";"Unencumbered Portfolio",#N/A,FALSE,"Unencumbered Portfolio "}</definedName>
    <definedName name="Roll_Fwd">"CommandButton1"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eparaturen" hidden="1">#REF!</definedName>
    <definedName name="rrrrrrrrrrrrrr" hidden="1">{#N/A,#N/A,FALSE,"Aging Summary";#N/A,#N/A,FALSE,"Ratio Analysis";#N/A,#N/A,FALSE,"Test 120 Day Accts";#N/A,#N/A,FALSE,"Tickmarks"}</definedName>
    <definedName name="rrrrrrrrrrrrrrrrr" hidden="1">#REF!</definedName>
    <definedName name="rt" hidden="1">{"inputs raw data",#N/A,TRUE,"INPUT"}</definedName>
    <definedName name="Rwvu.CAM._.RATES." hidden="1">#REF!,#REF!,#REF!</definedName>
    <definedName name="Rwvu.CAM._.RECOVERY." hidden="1">#REF!,#REF!,#REF!</definedName>
    <definedName name="Rwvu.LSMEET." hidden="1">#REF!,#REF!,#REF!,#REF!</definedName>
    <definedName name="Rwvu.MARKETING._.REVENUE." hidden="1">#REF!,#REF!,#REF!</definedName>
    <definedName name="Rwvu.OCCUPANCY." hidden="1">#REF!,#REF!,#REF!</definedName>
    <definedName name="Rwvu.TAX._.RATES." hidden="1">#REF!,#REF!,#REF!</definedName>
    <definedName name="Rwvu.TAX._.RECOVERY." hidden="1">#REF!,#REF!,#REF!</definedName>
    <definedName name="Rwvu.WAT." hidden="1">#REF!</definedName>
    <definedName name="sa" hidden="1">{"cap_structure",#N/A,FALSE,"Graph-Mkt Cap";"price",#N/A,FALSE,"Graph-Price";"ebit",#N/A,FALSE,"Graph-EBITDA";"ebitda",#N/A,FALSE,"Graph-EBITDA"}</definedName>
    <definedName name="sadd" hidden="1">{"MonthlyRentRoll",#N/A,FALSE,"RentRoll"}</definedName>
    <definedName name="sadd1" hidden="1">{"MonthlyRentRoll",#N/A,FALSE,"RentRoll"}</definedName>
    <definedName name="sadd2" hidden="1">{"MonthlyRentRoll",#N/A,FALSE,"RentRoll"}</definedName>
    <definedName name="saddd" hidden="1">{"AnnualRentRoll",#N/A,FALSE,"RentRoll"}</definedName>
    <definedName name="saddd2" hidden="1">{"AnnualRentRoll",#N/A,FALSE,"RentRoll"}</definedName>
    <definedName name="sadddd2" hidden="1">{"AnnualRentRoll",#N/A,FALSE,"RentRoll"}</definedName>
    <definedName name="saddddd" hidden="1">{"AnnualRentRoll",#N/A,FALSE,"RentRoll"}</definedName>
    <definedName name="saddddddd2" hidden="1">{#N/A,#N/A,FALSE,"ExitStratigy"}</definedName>
    <definedName name="sadddddddd" hidden="1">{#N/A,#N/A,FALSE,"ExitStratigy"}</definedName>
    <definedName name="saddddddddd2" hidden="1">{#N/A,#N/A,FALSE,"LoanAssumptions"}</definedName>
    <definedName name="sadddddddddd" hidden="1">{#N/A,#N/A,FALSE,"LoanAssumptions"}</definedName>
    <definedName name="saddddddddddd2" hidden="1">{#N/A,#N/A,FALSE,"OperatingAssumptions"}</definedName>
    <definedName name="saddddddddddddd" hidden="1">{#N/A,#N/A,FALSE,"OperatingAssumptions"}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ær">#REF!</definedName>
    <definedName name="Saleqtrs">#REF!</definedName>
    <definedName name="SamletAreal">#REF!</definedName>
    <definedName name="SamletDepositum">#REF!</definedName>
    <definedName name="SamletFriværdi">#REF!</definedName>
    <definedName name="SamletGæld">#REF!</definedName>
    <definedName name="SamletTomgang">#REF!</definedName>
    <definedName name="SamletVærdi">#REF!</definedName>
    <definedName name="SAPBEXhrIndnt" hidden="1">"Wide"</definedName>
    <definedName name="SAPBEXrevision" hidden="1">1</definedName>
    <definedName name="SAPBEXsysID" hidden="1">"BP1"</definedName>
    <definedName name="SAPBEXwbID" hidden="1">"B53P2O4URL06ZBXMGUMTS73HN"</definedName>
    <definedName name="SAPFuncF4Help" hidden="1">main.sapf4help()</definedName>
    <definedName name="SAPsysID" hidden="1">"708C5W7SBKP804JT78WJ0JNKI"</definedName>
    <definedName name="SAPwbID" hidden="1">"ARS"</definedName>
    <definedName name="sarah" hidden="1">{"FCB_ALL",#N/A,FALSE,"FCB"}</definedName>
    <definedName name="scen_change" hidden="1">#REF!,#REF!,#REF!,#REF!,#REF!</definedName>
    <definedName name="scen_date1" hidden="1">34379.7786921296</definedName>
    <definedName name="scen_name1" hidden="1">"SOLV 1"</definedName>
    <definedName name="scen_num" hidden="1">1</definedName>
    <definedName name="scen_result" hidden="1">#REF!</definedName>
    <definedName name="scen_user1" hidden="1">"JEAN-LOUIS TORRES"</definedName>
    <definedName name="scen_value1" hidden="1">{"0,0525";"0";"0";"20";"0";"0,025";"7"}</definedName>
    <definedName name="sdfas" hidden="1">{#N/A,#N/A,FALSE,"Aging Summary";#N/A,#N/A,FALSE,"Ratio Analysis";#N/A,#N/A,FALSE,"Test 120 Day Accts";#N/A,#N/A,FALSE,"Tickmarks"}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encount" hidden="1">1</definedName>
    <definedName name="sexan">#REF!</definedName>
    <definedName name="sheet2" hidden="1">{"CF",#N/A,FALSE,"Cash Flow";"RET",#N/A,FALSE,"Returns";"NPV",#N/A,FALSE,"Values";"ASMPT",#N/A,FALSE,"Assumptions"}</definedName>
    <definedName name="SheetProtection">"unprotected"</definedName>
    <definedName name="shit" hidden="1">{#N/A,"Base",FALSE,"Dividend";#N/A,"Conservative",FALSE,"Dividend";#N/A,"Downside",FALSE,"Dividend"}</definedName>
    <definedName name="Show_Metric">"Show"</definedName>
    <definedName name="sjuan">#REF!</definedName>
    <definedName name="skattemæssig_værdi">#REF!</definedName>
    <definedName name="SkatterAfgifter">"SkatterAfgifter"</definedName>
    <definedName name="solver_adj" hidden="1">#REF!,#REF!,#REF!,#REF!,#REF!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22</definedName>
    <definedName name="solver_nwt" hidden="1">1</definedName>
    <definedName name="solver_pre" hidden="1">0.000001</definedName>
    <definedName name="solver_rel1" hidden="1">1</definedName>
    <definedName name="solver_rel10" hidden="1">5</definedName>
    <definedName name="solver_rel11" hidden="1">5</definedName>
    <definedName name="solver_rel12" hidden="1">5</definedName>
    <definedName name="solver_rel13" hidden="1">5</definedName>
    <definedName name="solver_rel14" hidden="1">5</definedName>
    <definedName name="solver_rel15" hidden="1">5</definedName>
    <definedName name="solver_rel16" hidden="1">5</definedName>
    <definedName name="solver_rel17" hidden="1">5</definedName>
    <definedName name="solver_rel18" hidden="1">5</definedName>
    <definedName name="solver_rel19" hidden="1">5</definedName>
    <definedName name="solver_rel2" hidden="1">5</definedName>
    <definedName name="solver_rel20" hidden="1">5</definedName>
    <definedName name="solver_rel21" hidden="1">5</definedName>
    <definedName name="solver_rel22" hidden="1">5</definedName>
    <definedName name="solver_rel23" hidden="1">1</definedName>
    <definedName name="solver_rel24" hidden="1">5</definedName>
    <definedName name="solver_rel25" hidden="1">5</definedName>
    <definedName name="solver_rel26" hidden="1">5</definedName>
    <definedName name="solver_rel27" hidden="1">5</definedName>
    <definedName name="solver_rel28" hidden="1">5</definedName>
    <definedName name="solver_rel29" hidden="1">5</definedName>
    <definedName name="solver_rel3" hidden="1">5</definedName>
    <definedName name="solver_rel30" hidden="1">5</definedName>
    <definedName name="solver_rel31" hidden="1">5</definedName>
    <definedName name="solver_rel32" hidden="1">5</definedName>
    <definedName name="solver_rel33" hidden="1">5</definedName>
    <definedName name="solver_rel34" hidden="1">5</definedName>
    <definedName name="solver_rel35" hidden="1">5</definedName>
    <definedName name="solver_rel36" hidden="1">5</definedName>
    <definedName name="solver_rel37" hidden="1">5</definedName>
    <definedName name="solver_rel38" hidden="1">5</definedName>
    <definedName name="solver_rel39" hidden="1">5</definedName>
    <definedName name="solver_rel4" hidden="1">5</definedName>
    <definedName name="solver_rel40" hidden="1">5</definedName>
    <definedName name="solver_rel41" hidden="1">5</definedName>
    <definedName name="solver_rel42" hidden="1">5</definedName>
    <definedName name="solver_rel43" hidden="1">5</definedName>
    <definedName name="solver_rel44" hidden="1">5</definedName>
    <definedName name="solver_rel45" hidden="1">1</definedName>
    <definedName name="solver_rel46" hidden="1">5</definedName>
    <definedName name="solver_rel47" hidden="1">5</definedName>
    <definedName name="solver_rel48" hidden="1">5</definedName>
    <definedName name="solver_rel49" hidden="1">5</definedName>
    <definedName name="solver_rel5" hidden="1">5</definedName>
    <definedName name="solver_rel50" hidden="1">5</definedName>
    <definedName name="solver_rel51" hidden="1">5</definedName>
    <definedName name="solver_rel52" hidden="1">5</definedName>
    <definedName name="solver_rel53" hidden="1">5</definedName>
    <definedName name="solver_rel54" hidden="1">5</definedName>
    <definedName name="solver_rel55" hidden="1">5</definedName>
    <definedName name="solver_rel56" hidden="1">5</definedName>
    <definedName name="solver_rel57" hidden="1">5</definedName>
    <definedName name="solver_rel58" hidden="1">5</definedName>
    <definedName name="solver_rel59" hidden="1">5</definedName>
    <definedName name="solver_rel6" hidden="1">5</definedName>
    <definedName name="solver_rel60" hidden="1">5</definedName>
    <definedName name="solver_rel61" hidden="1">5</definedName>
    <definedName name="solver_rel62" hidden="1">5</definedName>
    <definedName name="solver_rel63" hidden="1">5</definedName>
    <definedName name="solver_rel64" hidden="1">5</definedName>
    <definedName name="solver_rel65" hidden="1">5</definedName>
    <definedName name="solver_rel66" hidden="1">5</definedName>
    <definedName name="solver_rel67" hidden="1">1</definedName>
    <definedName name="solver_rel68" hidden="1">5</definedName>
    <definedName name="solver_rel69" hidden="1">5</definedName>
    <definedName name="solver_rel7" hidden="1">5</definedName>
    <definedName name="solver_rel70" hidden="1">5</definedName>
    <definedName name="solver_rel71" hidden="1">5</definedName>
    <definedName name="solver_rel72" hidden="1">5</definedName>
    <definedName name="solver_rel73" hidden="1">5</definedName>
    <definedName name="solver_rel74" hidden="1">5</definedName>
    <definedName name="solver_rel75" hidden="1">5</definedName>
    <definedName name="solver_rel76" hidden="1">5</definedName>
    <definedName name="solver_rel77" hidden="1">5</definedName>
    <definedName name="solver_rel78" hidden="1">5</definedName>
    <definedName name="solver_rel79" hidden="1">5</definedName>
    <definedName name="solver_rel8" hidden="1">5</definedName>
    <definedName name="solver_rel80" hidden="1">5</definedName>
    <definedName name="solver_rel81" hidden="1">5</definedName>
    <definedName name="solver_rel82" hidden="1">5</definedName>
    <definedName name="solver_rel83" hidden="1">5</definedName>
    <definedName name="solver_rel84" hidden="1">5</definedName>
    <definedName name="solver_rel85" hidden="1">5</definedName>
    <definedName name="solver_rel86" hidden="1">5</definedName>
    <definedName name="solver_rel87" hidden="1">5</definedName>
    <definedName name="solver_rel88" hidden="1">5</definedName>
    <definedName name="solver_rel9" hidden="1">5</definedName>
    <definedName name="solver_rhs10" hidden="1">binary</definedName>
    <definedName name="solver_rhs11" hidden="1">binary</definedName>
    <definedName name="solver_rhs12" hidden="1">binary</definedName>
    <definedName name="solver_rhs13" hidden="1">binary</definedName>
    <definedName name="solver_rhs14" hidden="1">binary</definedName>
    <definedName name="solver_rhs15" hidden="1">binary</definedName>
    <definedName name="solver_rhs16" hidden="1">binary</definedName>
    <definedName name="solver_rhs17" hidden="1">binary</definedName>
    <definedName name="solver_rhs18" hidden="1">binary</definedName>
    <definedName name="solver_rhs19" hidden="1">binary</definedName>
    <definedName name="solver_rhs2" hidden="1">binary</definedName>
    <definedName name="solver_rhs20" hidden="1">binary</definedName>
    <definedName name="solver_rhs21" hidden="1">binary</definedName>
    <definedName name="solver_rhs22" hidden="1">binary</definedName>
    <definedName name="solver_rhs24" hidden="1">binary</definedName>
    <definedName name="solver_rhs25" hidden="1">binary</definedName>
    <definedName name="solver_rhs26" hidden="1">binary</definedName>
    <definedName name="solver_rhs27" hidden="1">binary</definedName>
    <definedName name="solver_rhs28" hidden="1">binary</definedName>
    <definedName name="solver_rhs29" hidden="1">binary</definedName>
    <definedName name="solver_rhs3" hidden="1">binary</definedName>
    <definedName name="solver_rhs30" hidden="1">binary</definedName>
    <definedName name="solver_rhs31" hidden="1">binary</definedName>
    <definedName name="solver_rhs32" hidden="1">binary</definedName>
    <definedName name="solver_rhs33" hidden="1">binary</definedName>
    <definedName name="solver_rhs34" hidden="1">binary</definedName>
    <definedName name="solver_rhs35" hidden="1">binary</definedName>
    <definedName name="solver_rhs36" hidden="1">binary</definedName>
    <definedName name="solver_rhs37" hidden="1">binary</definedName>
    <definedName name="solver_rhs38" hidden="1">binary</definedName>
    <definedName name="solver_rhs39" hidden="1">binary</definedName>
    <definedName name="solver_rhs4" hidden="1">binary</definedName>
    <definedName name="solver_rhs40" hidden="1">binary</definedName>
    <definedName name="solver_rhs41" hidden="1">binary</definedName>
    <definedName name="solver_rhs42" hidden="1">binary</definedName>
    <definedName name="solver_rhs43" hidden="1">binary</definedName>
    <definedName name="solver_rhs44" hidden="1">binary</definedName>
    <definedName name="solver_rhs46" hidden="1">binary</definedName>
    <definedName name="solver_rhs47" hidden="1">binary</definedName>
    <definedName name="solver_rhs48" hidden="1">binary</definedName>
    <definedName name="solver_rhs49" hidden="1">binary</definedName>
    <definedName name="solver_rhs5" hidden="1">binary</definedName>
    <definedName name="solver_rhs50" hidden="1">binary</definedName>
    <definedName name="solver_rhs51" hidden="1">binary</definedName>
    <definedName name="solver_rhs52" hidden="1">binary</definedName>
    <definedName name="solver_rhs53" hidden="1">binary</definedName>
    <definedName name="solver_rhs54" hidden="1">binary</definedName>
    <definedName name="solver_rhs55" hidden="1">binary</definedName>
    <definedName name="solver_rhs56" hidden="1">binary</definedName>
    <definedName name="solver_rhs57" hidden="1">binary</definedName>
    <definedName name="solver_rhs58" hidden="1">binary</definedName>
    <definedName name="solver_rhs59" hidden="1">binary</definedName>
    <definedName name="solver_rhs6" hidden="1">binary</definedName>
    <definedName name="solver_rhs60" hidden="1">binary</definedName>
    <definedName name="solver_rhs61" hidden="1">binary</definedName>
    <definedName name="solver_rhs62" hidden="1">binary</definedName>
    <definedName name="solver_rhs63" hidden="1">binary</definedName>
    <definedName name="solver_rhs64" hidden="1">binary</definedName>
    <definedName name="solver_rhs65" hidden="1">binary</definedName>
    <definedName name="solver_rhs66" hidden="1">binary</definedName>
    <definedName name="solver_rhs68" hidden="1">binary</definedName>
    <definedName name="solver_rhs69" hidden="1">binary</definedName>
    <definedName name="solver_rhs7" hidden="1">binary</definedName>
    <definedName name="solver_rhs70" hidden="1">binary</definedName>
    <definedName name="solver_rhs71" hidden="1">binary</definedName>
    <definedName name="solver_rhs72" hidden="1">binary</definedName>
    <definedName name="solver_rhs73" hidden="1">binary</definedName>
    <definedName name="solver_rhs74" hidden="1">binary</definedName>
    <definedName name="solver_rhs75" hidden="1">binary</definedName>
    <definedName name="solver_rhs76" hidden="1">binary</definedName>
    <definedName name="solver_rhs77" hidden="1">binary</definedName>
    <definedName name="solver_rhs78" hidden="1">binary</definedName>
    <definedName name="solver_rhs79" hidden="1">binary</definedName>
    <definedName name="solver_rhs8" hidden="1">binary</definedName>
    <definedName name="solver_rhs80" hidden="1">binary</definedName>
    <definedName name="solver_rhs81" hidden="1">binary</definedName>
    <definedName name="solver_rhs82" hidden="1">binary</definedName>
    <definedName name="solver_rhs83" hidden="1">binary</definedName>
    <definedName name="solver_rhs84" hidden="1">binary</definedName>
    <definedName name="solver_rhs85" hidden="1">binary</definedName>
    <definedName name="solver_rhs86" hidden="1">binary</definedName>
    <definedName name="solver_rhs87" hidden="1">binary</definedName>
    <definedName name="solver_rhs88" hidden="1">binary</definedName>
    <definedName name="solver_rhs9" hidden="1">binary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M.2" hidden="1">{#N/A,#N/A,FALSE,"Cashflow Analysis";#N/A,#N/A,FALSE,"Sensitivity Analysis";#N/A,#N/A,FALSE,"PV";#N/A,#N/A,FALSE,"Pro Forma"}</definedName>
    <definedName name="SpoolPath">"C:\Program Files\Symtrax\Compleo\Temp\00000000.txt"</definedName>
    <definedName name="SPWS_WBID">"8C008AD8-B42C-4131-AC8E-86B99B1BE63C"</definedName>
    <definedName name="ss">{0;0;0;0;1;1;0;0;0;0;2;FALSE;FALSE;FALSE;FALSE;FALSE;#N/A;1;#N/A;1;1;"";""}</definedName>
    <definedName name="Stated_Interest_Rate">16</definedName>
    <definedName name="SV">#REF!</definedName>
    <definedName name="Swvu.ALL." hidden="1">#REF!</definedName>
    <definedName name="Swvu.CAM._.RATES." hidden="1">#REF!</definedName>
    <definedName name="Swvu.CAM._.RECOVERY." hidden="1">#REF!</definedName>
    <definedName name="Swvu.LSMEET." hidden="1">#REF!</definedName>
    <definedName name="Swvu.MARKETING._.REVENUE." hidden="1">#REF!</definedName>
    <definedName name="Swvu.OCCUPANCY." hidden="1">#REF!</definedName>
    <definedName name="Swvu.TAX._.RATES." hidden="1">#REF!</definedName>
    <definedName name="Swvu.TAX._.RECOVERY." hidden="1">#REF!</definedName>
    <definedName name="Swvu.WAT." hidden="1">#REF!</definedName>
    <definedName name="TableName">"Dummy"</definedName>
    <definedName name="Target2">{0;0;0;0;1;#N/A;0.5;0.5;0.5;0.5;1;FALSE;FALSE;FALSE;FALSE;FALSE;#N/A;1;75;#N/A;#N/A;"";""}</definedName>
    <definedName name="TEMP" hidden="1">{"CHART16",#N/A,FALSE,"CHART16"}</definedName>
    <definedName name="temp2" hidden="1">{#N/A,#N/A,FALSE,"CHART9"}</definedName>
    <definedName name="TestIIL1">NOT(ISERR(DATEVALUE(LEFT(CC,FIND("|", CC)-1) &amp; "/01")))</definedName>
    <definedName name="TestIIL2">ISNUMBER(VALUE(MID(CC,FP+1, FIND("|", CC, FP+1)-FP-1)))</definedName>
    <definedName name="TestIIL3">OR(RIGHT(CC,1)="0", RIGHT(CC,1)="1")</definedName>
    <definedName name="tfeewrewr" hidden="1">{#N/A,#N/A,FALSE,"Aging Summary";#N/A,#N/A,FALSE,"Ratio Analysis";#N/A,#N/A,FALSE,"Test 120 Day Accts";#N/A,#N/A,FALSE,"Tickmarks"}</definedName>
    <definedName name="Tomgang">"Tomgang"</definedName>
    <definedName name="Total.Resultat.B108">#REF!</definedName>
    <definedName name="Total.Resultat.B120">#REF!</definedName>
    <definedName name="Total.Resultat.B127">#REF!</definedName>
    <definedName name="Total.Resultat.B34">#REF!</definedName>
    <definedName name="Total.Resultat.B47">#REF!</definedName>
    <definedName name="Total.Resultat.B79">#REF!</definedName>
    <definedName name="Total.Resultat.C108">#REF!</definedName>
    <definedName name="Total.Resultat.C120">#REF!</definedName>
    <definedName name="Total.Resultat.C127">#REF!</definedName>
    <definedName name="Total.Resultat.C34">#REF!</definedName>
    <definedName name="Total.Resultat.C47">#REF!</definedName>
    <definedName name="Total.Resultat.C79">#REF!</definedName>
    <definedName name="Total.Resultat.D108">#REF!</definedName>
    <definedName name="Total.Resultat.D120">#REF!</definedName>
    <definedName name="Total.Resultat.D127">#REF!</definedName>
    <definedName name="Total.Resultat.D34">#REF!</definedName>
    <definedName name="Total.Resultat.D47">#REF!</definedName>
    <definedName name="Total.Resultat.D79">#REF!</definedName>
    <definedName name="Total.Resultat.E108">#REF!</definedName>
    <definedName name="Total.Resultat.E120">#REF!</definedName>
    <definedName name="Total.Resultat.E127">#REF!</definedName>
    <definedName name="Total.Resultat.E2">#REF!</definedName>
    <definedName name="Total.Resultat.E34">#REF!</definedName>
    <definedName name="Total.Resultat.E47">#REF!</definedName>
    <definedName name="Total.Resultat.E79">#REF!</definedName>
    <definedName name="Total.Resultat.G108">#REF!</definedName>
    <definedName name="Total.Resultat.G120">#REF!</definedName>
    <definedName name="Total.Resultat.G127">#REF!</definedName>
    <definedName name="Total.Resultat.G34">#REF!</definedName>
    <definedName name="Total.Resultat.G47">#REF!</definedName>
    <definedName name="Total.Resultat.G79">#REF!</definedName>
    <definedName name="Total.Resultat.H108">#REF!</definedName>
    <definedName name="Total.Resultat.H120">#REF!</definedName>
    <definedName name="Total.Resultat.H127">#REF!</definedName>
    <definedName name="Total.Resultat.H34">#REF!</definedName>
    <definedName name="Total.Resultat.H47">#REF!</definedName>
    <definedName name="Total.Resultat.H79">#REF!</definedName>
    <definedName name="Total.Resultat.I108">#REF!</definedName>
    <definedName name="Total.Resultat.I120">#REF!</definedName>
    <definedName name="Total.Resultat.I127">#REF!</definedName>
    <definedName name="Total.Resultat.I34">#REF!</definedName>
    <definedName name="Total.Resultat.I47">#REF!</definedName>
    <definedName name="Total.Resultat.I79">#REF!</definedName>
    <definedName name="Total.Resultat.J108">#REF!</definedName>
    <definedName name="Total.Resultat.J120">#REF!</definedName>
    <definedName name="Total.Resultat.J127">#REF!</definedName>
    <definedName name="Total.Resultat.J34">#REF!</definedName>
    <definedName name="Total.Resultat.J47">#REF!</definedName>
    <definedName name="Total.Resultat.J79">#REF!</definedName>
    <definedName name="Total.Resultat.K108">#REF!</definedName>
    <definedName name="Total.Resultat.L108">#REF!</definedName>
    <definedName name="TOTAL_DEDUCTIONS">#REF!</definedName>
    <definedName name="Total_Payment">scheduled_payment+extra_payment</definedName>
    <definedName name="TotalBreakdwn.Resultat.B100">#REF!</definedName>
    <definedName name="TotalBreakdwn.Resultat.B102">#REF!</definedName>
    <definedName name="TotalBreakdwn.Resultat.B103">#REF!</definedName>
    <definedName name="TotalBreakdwn.Resultat.B104">#REF!</definedName>
    <definedName name="TotalBreakdwn.Resultat.B106">#REF!</definedName>
    <definedName name="TotalBreakdwn.Resultat.B108">#REF!</definedName>
    <definedName name="TotalBreakdwn.Resultat.B11">#REF!</definedName>
    <definedName name="TotalBreakdwn.Resultat.B110">#REF!</definedName>
    <definedName name="TotalBreakdwn.Resultat.B112">#REF!</definedName>
    <definedName name="TotalBreakdwn.Resultat.B113">#REF!</definedName>
    <definedName name="TotalBreakdwn.Resultat.B114">#REF!</definedName>
    <definedName name="TotalBreakdwn.Resultat.B115">#REF!</definedName>
    <definedName name="TotalBreakdwn.Resultat.B116">#REF!</definedName>
    <definedName name="TotalBreakdwn.Resultat.B117">#REF!</definedName>
    <definedName name="TotalBreakdwn.Resultat.B118">#REF!</definedName>
    <definedName name="TotalBreakdwn.Resultat.B119">#REF!</definedName>
    <definedName name="TotalBreakdwn.Resultat.B120">#REF!</definedName>
    <definedName name="TotalBreakdwn.Resultat.B121">#REF!</definedName>
    <definedName name="TotalBreakdwn.Resultat.B122">#REF!</definedName>
    <definedName name="TotalBreakdwn.Resultat.B123">#REF!</definedName>
    <definedName name="TotalBreakdwn.Resultat.B124">#REF!</definedName>
    <definedName name="TotalBreakdwn.Resultat.B125">#REF!</definedName>
    <definedName name="TotalBreakdwn.Resultat.B126">#REF!</definedName>
    <definedName name="TotalBreakdwn.Resultat.B127">#REF!</definedName>
    <definedName name="TotalBreakdwn.Resultat.B128">#REF!</definedName>
    <definedName name="TotalBreakdwn.Resultat.B13">#REF!</definedName>
    <definedName name="TotalBreakdwn.Resultat.B130">#REF!</definedName>
    <definedName name="TotalBreakdwn.Resultat.B132">#REF!</definedName>
    <definedName name="TotalBreakdwn.Resultat.B15">#REF!</definedName>
    <definedName name="TotalBreakdwn.Resultat.B17">#REF!</definedName>
    <definedName name="TotalBreakdwn.Resultat.B19">#REF!</definedName>
    <definedName name="TotalBreakdwn.Resultat.B20">#REF!</definedName>
    <definedName name="TotalBreakdwn.Resultat.B21">#REF!</definedName>
    <definedName name="TotalBreakdwn.Resultat.B22">#REF!</definedName>
    <definedName name="TotalBreakdwn.Resultat.B23">#REF!</definedName>
    <definedName name="TotalBreakdwn.Resultat.B24">#REF!</definedName>
    <definedName name="TotalBreakdwn.Resultat.B25">#REF!</definedName>
    <definedName name="TotalBreakdwn.Resultat.B26">#REF!</definedName>
    <definedName name="TotalBreakdwn.Resultat.B27">#REF!</definedName>
    <definedName name="TotalBreakdwn.Resultat.B28">#REF!</definedName>
    <definedName name="TotalBreakdwn.Resultat.B30">#REF!</definedName>
    <definedName name="TotalBreakdwn.Resultat.B32">#REF!</definedName>
    <definedName name="TotalBreakdwn.Resultat.B33">#REF!</definedName>
    <definedName name="TotalBreakdwn.Resultat.B34">#REF!</definedName>
    <definedName name="TotalBreakdwn.Resultat.B36">#REF!</definedName>
    <definedName name="TotalBreakdwn.Resultat.B38">#REF!</definedName>
    <definedName name="TotalBreakdwn.Resultat.B39">#REF!</definedName>
    <definedName name="TotalBreakdwn.Resultat.B40">#REF!</definedName>
    <definedName name="TotalBreakdwn.Resultat.B41">#REF!</definedName>
    <definedName name="TotalBreakdwn.Resultat.B43">#REF!</definedName>
    <definedName name="TotalBreakdwn.Resultat.B44">#REF!</definedName>
    <definedName name="TotalBreakdwn.Resultat.B45">#REF!</definedName>
    <definedName name="TotalBreakdwn.Resultat.B46">#REF!</definedName>
    <definedName name="TotalBreakdwn.Resultat.B47">#REF!</definedName>
    <definedName name="TotalBreakdwn.Resultat.B49">#REF!</definedName>
    <definedName name="TotalBreakdwn.Resultat.B51">#REF!</definedName>
    <definedName name="TotalBreakdwn.Resultat.B53">#REF!</definedName>
    <definedName name="TotalBreakdwn.Resultat.B54">#REF!</definedName>
    <definedName name="TotalBreakdwn.Resultat.B55">#REF!</definedName>
    <definedName name="TotalBreakdwn.Resultat.B57">#REF!</definedName>
    <definedName name="TotalBreakdwn.Resultat.B59">#REF!</definedName>
    <definedName name="TotalBreakdwn.Resultat.B61">#REF!</definedName>
    <definedName name="TotalBreakdwn.Resultat.B63">#REF!</definedName>
    <definedName name="TotalBreakdwn.Resultat.B65">#REF!</definedName>
    <definedName name="TotalBreakdwn.Resultat.B67">#REF!</definedName>
    <definedName name="TotalBreakdwn.Resultat.B69">#REF!</definedName>
    <definedName name="TotalBreakdwn.Resultat.B7">#REF!</definedName>
    <definedName name="TotalBreakdwn.Resultat.B71">#REF!</definedName>
    <definedName name="TotalBreakdwn.Resultat.B73">#REF!</definedName>
    <definedName name="TotalBreakdwn.Resultat.B75">#REF!</definedName>
    <definedName name="TotalBreakdwn.Resultat.B76">#REF!</definedName>
    <definedName name="TotalBreakdwn.Resultat.B77">#REF!</definedName>
    <definedName name="TotalBreakdwn.Resultat.B79">#REF!</definedName>
    <definedName name="TotalBreakdwn.Resultat.B80">#REF!</definedName>
    <definedName name="TotalBreakdwn.Resultat.B81">#REF!</definedName>
    <definedName name="TotalBreakdwn.Resultat.B82">#REF!</definedName>
    <definedName name="TotalBreakdwn.Resultat.B83">#REF!</definedName>
    <definedName name="TotalBreakdwn.Resultat.B84">#REF!</definedName>
    <definedName name="TotalBreakdwn.Resultat.B85">#REF!</definedName>
    <definedName name="TotalBreakdwn.Resultat.B86">#REF!</definedName>
    <definedName name="TotalBreakdwn.Resultat.B88">#REF!</definedName>
    <definedName name="TotalBreakdwn.Resultat.B9">#REF!</definedName>
    <definedName name="TotalBreakdwn.Resultat.B90">#REF!</definedName>
    <definedName name="TotalBreakdwn.Resultat.B92">#REF!</definedName>
    <definedName name="TotalBreakdwn.Resultat.B94">#REF!</definedName>
    <definedName name="TotalBreakdwn.Resultat.B95">#REF!</definedName>
    <definedName name="TotalBreakdwn.Resultat.B96">#REF!</definedName>
    <definedName name="TotalBreakdwn.Resultat.B98">#REF!</definedName>
    <definedName name="TotalBreakdwn.Resultat.C100">#REF!</definedName>
    <definedName name="TotalBreakdwn.Resultat.C102">#REF!</definedName>
    <definedName name="TotalBreakdwn.Resultat.C103">#REF!</definedName>
    <definedName name="TotalBreakdwn.Resultat.C104">#REF!</definedName>
    <definedName name="TotalBreakdwn.Resultat.C106">#REF!</definedName>
    <definedName name="TotalBreakdwn.Resultat.C108">#REF!</definedName>
    <definedName name="TotalBreakdwn.Resultat.C11">#REF!</definedName>
    <definedName name="TotalBreakdwn.Resultat.C110">#REF!</definedName>
    <definedName name="TotalBreakdwn.Resultat.C112">#REF!</definedName>
    <definedName name="TotalBreakdwn.Resultat.C113">#REF!</definedName>
    <definedName name="TotalBreakdwn.Resultat.C114">#REF!</definedName>
    <definedName name="TotalBreakdwn.Resultat.C115">#REF!</definedName>
    <definedName name="TotalBreakdwn.Resultat.C116">#REF!</definedName>
    <definedName name="TotalBreakdwn.Resultat.C117">#REF!</definedName>
    <definedName name="TotalBreakdwn.Resultat.C118">#REF!</definedName>
    <definedName name="TotalBreakdwn.Resultat.C119">#REF!</definedName>
    <definedName name="TotalBreakdwn.Resultat.C120">#REF!</definedName>
    <definedName name="TotalBreakdwn.Resultat.C121">#REF!</definedName>
    <definedName name="TotalBreakdwn.Resultat.C123">#REF!</definedName>
    <definedName name="TotalBreakdwn.Resultat.C124">#REF!</definedName>
    <definedName name="TotalBreakdwn.Resultat.C125">#REF!</definedName>
    <definedName name="TotalBreakdwn.Resultat.C126">#REF!</definedName>
    <definedName name="TotalBreakdwn.Resultat.C127">#REF!</definedName>
    <definedName name="TotalBreakdwn.Resultat.C128">#REF!</definedName>
    <definedName name="TotalBreakdwn.Resultat.C13">#REF!</definedName>
    <definedName name="TotalBreakdwn.Resultat.C15">#REF!</definedName>
    <definedName name="TotalBreakdwn.Resultat.C17">#REF!</definedName>
    <definedName name="TotalBreakdwn.Resultat.C19">#REF!</definedName>
    <definedName name="TotalBreakdwn.Resultat.C20">#REF!</definedName>
    <definedName name="TotalBreakdwn.Resultat.C21">#REF!</definedName>
    <definedName name="TotalBreakdwn.Resultat.C22">#REF!</definedName>
    <definedName name="TotalBreakdwn.Resultat.C23">#REF!</definedName>
    <definedName name="TotalBreakdwn.Resultat.C24">#REF!</definedName>
    <definedName name="TotalBreakdwn.Resultat.C25">#REF!</definedName>
    <definedName name="TotalBreakdwn.Resultat.C26">#REF!</definedName>
    <definedName name="TotalBreakdwn.Resultat.C27">#REF!</definedName>
    <definedName name="TotalBreakdwn.Resultat.C28">#REF!</definedName>
    <definedName name="TotalBreakdwn.Resultat.C30">#REF!</definedName>
    <definedName name="TotalBreakdwn.Resultat.C32">#REF!</definedName>
    <definedName name="TotalBreakdwn.Resultat.C33">#REF!</definedName>
    <definedName name="TotalBreakdwn.Resultat.C34">#REF!</definedName>
    <definedName name="TotalBreakdwn.Resultat.C36">#REF!</definedName>
    <definedName name="TotalBreakdwn.Resultat.C38">#REF!</definedName>
    <definedName name="TotalBreakdwn.Resultat.C39">#REF!</definedName>
    <definedName name="TotalBreakdwn.Resultat.C40">#REF!</definedName>
    <definedName name="TotalBreakdwn.Resultat.C41">#REF!</definedName>
    <definedName name="TotalBreakdwn.Resultat.C43">#REF!</definedName>
    <definedName name="TotalBreakdwn.Resultat.C44">#REF!</definedName>
    <definedName name="TotalBreakdwn.Resultat.C45">#REF!</definedName>
    <definedName name="TotalBreakdwn.Resultat.C46">#REF!</definedName>
    <definedName name="TotalBreakdwn.Resultat.C47">#REF!</definedName>
    <definedName name="TotalBreakdwn.Resultat.C49">#REF!</definedName>
    <definedName name="TotalBreakdwn.Resultat.C51">#REF!</definedName>
    <definedName name="TotalBreakdwn.Resultat.C53">#REF!</definedName>
    <definedName name="TotalBreakdwn.Resultat.C54">#REF!</definedName>
    <definedName name="TotalBreakdwn.Resultat.C55">#REF!</definedName>
    <definedName name="TotalBreakdwn.Resultat.C57">#REF!</definedName>
    <definedName name="TotalBreakdwn.Resultat.C59">#REF!</definedName>
    <definedName name="TotalBreakdwn.Resultat.C61">#REF!</definedName>
    <definedName name="TotalBreakdwn.Resultat.C63">#REF!</definedName>
    <definedName name="TotalBreakdwn.Resultat.C65">#REF!</definedName>
    <definedName name="TotalBreakdwn.Resultat.C67">#REF!</definedName>
    <definedName name="TotalBreakdwn.Resultat.C69">#REF!</definedName>
    <definedName name="TotalBreakdwn.Resultat.C7">#REF!</definedName>
    <definedName name="TotalBreakdwn.Resultat.C71">#REF!</definedName>
    <definedName name="TotalBreakdwn.Resultat.C73">#REF!</definedName>
    <definedName name="TotalBreakdwn.Resultat.C75">#REF!</definedName>
    <definedName name="TotalBreakdwn.Resultat.C76">#REF!</definedName>
    <definedName name="TotalBreakdwn.Resultat.C77">#REF!</definedName>
    <definedName name="TotalBreakdwn.Resultat.C79">#REF!</definedName>
    <definedName name="TotalBreakdwn.Resultat.C80">#REF!</definedName>
    <definedName name="TotalBreakdwn.Resultat.C81">#REF!</definedName>
    <definedName name="TotalBreakdwn.Resultat.C82">#REF!</definedName>
    <definedName name="TotalBreakdwn.Resultat.C83">#REF!</definedName>
    <definedName name="TotalBreakdwn.Resultat.C84">#REF!</definedName>
    <definedName name="TotalBreakdwn.Resultat.C85">#REF!</definedName>
    <definedName name="TotalBreakdwn.Resultat.C86">#REF!</definedName>
    <definedName name="TotalBreakdwn.Resultat.C88">#REF!</definedName>
    <definedName name="TotalBreakdwn.Resultat.C9">#REF!</definedName>
    <definedName name="TotalBreakdwn.Resultat.C90">#REF!</definedName>
    <definedName name="TotalBreakdwn.Resultat.C92">#REF!</definedName>
    <definedName name="TotalBreakdwn.Resultat.C94">#REF!</definedName>
    <definedName name="TotalBreakdwn.Resultat.C95">#REF!</definedName>
    <definedName name="TotalBreakdwn.Resultat.C96">#REF!</definedName>
    <definedName name="TotalBreakdwn.Resultat.C98">#REF!</definedName>
    <definedName name="TotalBreakdwn.Resultat.D100">#REF!</definedName>
    <definedName name="TotalBreakdwn.Resultat.D102">#REF!</definedName>
    <definedName name="TotalBreakdwn.Resultat.D103">#REF!</definedName>
    <definedName name="TotalBreakdwn.Resultat.D104">#REF!</definedName>
    <definedName name="TotalBreakdwn.Resultat.D106">#REF!</definedName>
    <definedName name="TotalBreakdwn.Resultat.D108">#REF!</definedName>
    <definedName name="TotalBreakdwn.Resultat.D11">#REF!</definedName>
    <definedName name="TotalBreakdwn.Resultat.D110">#REF!</definedName>
    <definedName name="TotalBreakdwn.Resultat.D112">#REF!</definedName>
    <definedName name="TotalBreakdwn.Resultat.D113">#REF!</definedName>
    <definedName name="TotalBreakdwn.Resultat.D114">#REF!</definedName>
    <definedName name="TotalBreakdwn.Resultat.D115">#REF!</definedName>
    <definedName name="TotalBreakdwn.Resultat.D116">#REF!</definedName>
    <definedName name="TotalBreakdwn.Resultat.D118">#REF!</definedName>
    <definedName name="TotalBreakdwn.Resultat.D119">#REF!</definedName>
    <definedName name="TotalBreakdwn.Resultat.D120">#REF!</definedName>
    <definedName name="TotalBreakdwn.Resultat.D121">#REF!</definedName>
    <definedName name="TotalBreakdwn.Resultat.D123">#REF!</definedName>
    <definedName name="TotalBreakdwn.Resultat.D124">#REF!</definedName>
    <definedName name="TotalBreakdwn.Resultat.D126">#REF!</definedName>
    <definedName name="TotalBreakdwn.Resultat.D127">#REF!</definedName>
    <definedName name="TotalBreakdwn.Resultat.D128">#REF!</definedName>
    <definedName name="TotalBreakdwn.Resultat.D13">#REF!</definedName>
    <definedName name="TotalBreakdwn.Resultat.D15">#REF!</definedName>
    <definedName name="TotalBreakdwn.Resultat.D17">#REF!</definedName>
    <definedName name="TotalBreakdwn.Resultat.D19">#REF!</definedName>
    <definedName name="TotalBreakdwn.Resultat.D20">#REF!</definedName>
    <definedName name="TotalBreakdwn.Resultat.D21">#REF!</definedName>
    <definedName name="TotalBreakdwn.Resultat.D22">#REF!</definedName>
    <definedName name="TotalBreakdwn.Resultat.D23">#REF!</definedName>
    <definedName name="TotalBreakdwn.Resultat.D24">#REF!</definedName>
    <definedName name="TotalBreakdwn.Resultat.D25">#REF!</definedName>
    <definedName name="TotalBreakdwn.Resultat.D26">#REF!</definedName>
    <definedName name="TotalBreakdwn.Resultat.D27">#REF!</definedName>
    <definedName name="TotalBreakdwn.Resultat.D28">#REF!</definedName>
    <definedName name="TotalBreakdwn.Resultat.D30">#REF!</definedName>
    <definedName name="TotalBreakdwn.Resultat.D32">#REF!</definedName>
    <definedName name="TotalBreakdwn.Resultat.D33">#REF!</definedName>
    <definedName name="TotalBreakdwn.Resultat.D34">#REF!</definedName>
    <definedName name="TotalBreakdwn.Resultat.D36">#REF!</definedName>
    <definedName name="TotalBreakdwn.Resultat.D38">#REF!</definedName>
    <definedName name="TotalBreakdwn.Resultat.D39">#REF!</definedName>
    <definedName name="TotalBreakdwn.Resultat.D40">#REF!</definedName>
    <definedName name="TotalBreakdwn.Resultat.D41">#REF!</definedName>
    <definedName name="TotalBreakdwn.Resultat.D43">#REF!</definedName>
    <definedName name="TotalBreakdwn.Resultat.D44">#REF!</definedName>
    <definedName name="TotalBreakdwn.Resultat.D45">#REF!</definedName>
    <definedName name="TotalBreakdwn.Resultat.D46">#REF!</definedName>
    <definedName name="TotalBreakdwn.Resultat.D47">#REF!</definedName>
    <definedName name="TotalBreakdwn.Resultat.D49">#REF!</definedName>
    <definedName name="TotalBreakdwn.Resultat.D51">#REF!</definedName>
    <definedName name="TotalBreakdwn.Resultat.D53">#REF!</definedName>
    <definedName name="TotalBreakdwn.Resultat.D54">#REF!</definedName>
    <definedName name="TotalBreakdwn.Resultat.D55">#REF!</definedName>
    <definedName name="TotalBreakdwn.Resultat.D57">#REF!</definedName>
    <definedName name="TotalBreakdwn.Resultat.D59">#REF!</definedName>
    <definedName name="TotalBreakdwn.Resultat.D61">#REF!</definedName>
    <definedName name="TotalBreakdwn.Resultat.D63">#REF!</definedName>
    <definedName name="TotalBreakdwn.Resultat.D65">#REF!</definedName>
    <definedName name="TotalBreakdwn.Resultat.D67">#REF!</definedName>
    <definedName name="TotalBreakdwn.Resultat.D69">#REF!</definedName>
    <definedName name="TotalBreakdwn.Resultat.D7">#REF!</definedName>
    <definedName name="TotalBreakdwn.Resultat.D71">#REF!</definedName>
    <definedName name="TotalBreakdwn.Resultat.D73">#REF!</definedName>
    <definedName name="TotalBreakdwn.Resultat.D75">#REF!</definedName>
    <definedName name="TotalBreakdwn.Resultat.D76">#REF!</definedName>
    <definedName name="TotalBreakdwn.Resultat.D77">#REF!</definedName>
    <definedName name="TotalBreakdwn.Resultat.D79">#REF!</definedName>
    <definedName name="TotalBreakdwn.Resultat.D80">#REF!</definedName>
    <definedName name="TotalBreakdwn.Resultat.D81">#REF!</definedName>
    <definedName name="TotalBreakdwn.Resultat.D82">#REF!</definedName>
    <definedName name="TotalBreakdwn.Resultat.D83">#REF!</definedName>
    <definedName name="TotalBreakdwn.Resultat.D84">#REF!</definedName>
    <definedName name="TotalBreakdwn.Resultat.D85">#REF!</definedName>
    <definedName name="TotalBreakdwn.Resultat.D86">#REF!</definedName>
    <definedName name="TotalBreakdwn.Resultat.D88">#REF!</definedName>
    <definedName name="TotalBreakdwn.Resultat.D9">#REF!</definedName>
    <definedName name="TotalBreakdwn.Resultat.D90">#REF!</definedName>
    <definedName name="TotalBreakdwn.Resultat.D92">#REF!</definedName>
    <definedName name="TotalBreakdwn.Resultat.D94">#REF!</definedName>
    <definedName name="TotalBreakdwn.Resultat.D95">#REF!</definedName>
    <definedName name="TotalBreakdwn.Resultat.D96">#REF!</definedName>
    <definedName name="TotalBreakdwn.Resultat.D98">#REF!</definedName>
    <definedName name="TotalBreakdwn.Resultat.E1">#REF!</definedName>
    <definedName name="TotalBreakdwn.Resultat.E100">#REF!</definedName>
    <definedName name="TotalBreakdwn.Resultat.E102">#REF!</definedName>
    <definedName name="TotalBreakdwn.Resultat.E103">#REF!</definedName>
    <definedName name="TotalBreakdwn.Resultat.E104">#REF!</definedName>
    <definedName name="TotalBreakdwn.Resultat.E106">#REF!</definedName>
    <definedName name="TotalBreakdwn.Resultat.E108">#REF!</definedName>
    <definedName name="TotalBreakdwn.Resultat.E11">#REF!</definedName>
    <definedName name="TotalBreakdwn.Resultat.E110">#REF!</definedName>
    <definedName name="TotalBreakdwn.Resultat.E112">#REF!</definedName>
    <definedName name="TotalBreakdwn.Resultat.E113">#REF!</definedName>
    <definedName name="TotalBreakdwn.Resultat.E114">#REF!</definedName>
    <definedName name="TotalBreakdwn.Resultat.E115">#REF!</definedName>
    <definedName name="TotalBreakdwn.Resultat.E116">#REF!</definedName>
    <definedName name="TotalBreakdwn.Resultat.E118">#REF!</definedName>
    <definedName name="TotalBreakdwn.Resultat.E119">#REF!</definedName>
    <definedName name="TotalBreakdwn.Resultat.E120">#REF!</definedName>
    <definedName name="TotalBreakdwn.Resultat.E121">#REF!</definedName>
    <definedName name="TotalBreakdwn.Resultat.E123">#REF!</definedName>
    <definedName name="TotalBreakdwn.Resultat.E124">#REF!</definedName>
    <definedName name="TotalBreakdwn.Resultat.E126">#REF!</definedName>
    <definedName name="TotalBreakdwn.Resultat.E127">#REF!</definedName>
    <definedName name="TotalBreakdwn.Resultat.E128">#REF!</definedName>
    <definedName name="TotalBreakdwn.Resultat.E13">#REF!</definedName>
    <definedName name="TotalBreakdwn.Resultat.E15">#REF!</definedName>
    <definedName name="TotalBreakdwn.Resultat.E17">#REF!</definedName>
    <definedName name="TotalBreakdwn.Resultat.E19">#REF!</definedName>
    <definedName name="TotalBreakdwn.Resultat.E2">#REF!</definedName>
    <definedName name="TotalBreakdwn.Resultat.E20">#REF!</definedName>
    <definedName name="TotalBreakdwn.Resultat.E21">#REF!</definedName>
    <definedName name="TotalBreakdwn.Resultat.E22">#REF!</definedName>
    <definedName name="TotalBreakdwn.Resultat.E23">#REF!</definedName>
    <definedName name="TotalBreakdwn.Resultat.E24">#REF!</definedName>
    <definedName name="TotalBreakdwn.Resultat.E25">#REF!</definedName>
    <definedName name="TotalBreakdwn.Resultat.E26">#REF!</definedName>
    <definedName name="TotalBreakdwn.Resultat.E27">#REF!</definedName>
    <definedName name="TotalBreakdwn.Resultat.E28">#REF!</definedName>
    <definedName name="TotalBreakdwn.Resultat.E30">#REF!</definedName>
    <definedName name="TotalBreakdwn.Resultat.E32">#REF!</definedName>
    <definedName name="TotalBreakdwn.Resultat.E33">#REF!</definedName>
    <definedName name="TotalBreakdwn.Resultat.E34">#REF!</definedName>
    <definedName name="TotalBreakdwn.Resultat.E36">#REF!</definedName>
    <definedName name="TotalBreakdwn.Resultat.E38">#REF!</definedName>
    <definedName name="TotalBreakdwn.Resultat.E39">#REF!</definedName>
    <definedName name="TotalBreakdwn.Resultat.E40">#REF!</definedName>
    <definedName name="TotalBreakdwn.Resultat.E41">#REF!</definedName>
    <definedName name="TotalBreakdwn.Resultat.E43">#REF!</definedName>
    <definedName name="TotalBreakdwn.Resultat.E44">#REF!</definedName>
    <definedName name="TotalBreakdwn.Resultat.E45">#REF!</definedName>
    <definedName name="TotalBreakdwn.Resultat.E46">#REF!</definedName>
    <definedName name="TotalBreakdwn.Resultat.E47">#REF!</definedName>
    <definedName name="TotalBreakdwn.Resultat.E49">#REF!</definedName>
    <definedName name="TotalBreakdwn.Resultat.E51">#REF!</definedName>
    <definedName name="TotalBreakdwn.Resultat.E53">#REF!</definedName>
    <definedName name="TotalBreakdwn.Resultat.E54">#REF!</definedName>
    <definedName name="TotalBreakdwn.Resultat.E55">#REF!</definedName>
    <definedName name="TotalBreakdwn.Resultat.E57">#REF!</definedName>
    <definedName name="TotalBreakdwn.Resultat.E59">#REF!</definedName>
    <definedName name="TotalBreakdwn.Resultat.E61">#REF!</definedName>
    <definedName name="TotalBreakdwn.Resultat.E63">#REF!</definedName>
    <definedName name="TotalBreakdwn.Resultat.E65">#REF!</definedName>
    <definedName name="TotalBreakdwn.Resultat.E67">#REF!</definedName>
    <definedName name="TotalBreakdwn.Resultat.E69">#REF!</definedName>
    <definedName name="TotalBreakdwn.Resultat.E7">#REF!</definedName>
    <definedName name="TotalBreakdwn.Resultat.E71">#REF!</definedName>
    <definedName name="TotalBreakdwn.Resultat.E73">#REF!</definedName>
    <definedName name="TotalBreakdwn.Resultat.E75">#REF!</definedName>
    <definedName name="TotalBreakdwn.Resultat.E76">#REF!</definedName>
    <definedName name="TotalBreakdwn.Resultat.E77">#REF!</definedName>
    <definedName name="TotalBreakdwn.Resultat.E79">#REF!</definedName>
    <definedName name="TotalBreakdwn.Resultat.E80">#REF!</definedName>
    <definedName name="TotalBreakdwn.Resultat.E81">#REF!</definedName>
    <definedName name="TotalBreakdwn.Resultat.E82">#REF!</definedName>
    <definedName name="TotalBreakdwn.Resultat.E83">#REF!</definedName>
    <definedName name="TotalBreakdwn.Resultat.E84">#REF!</definedName>
    <definedName name="TotalBreakdwn.Resultat.E85">#REF!</definedName>
    <definedName name="TotalBreakdwn.Resultat.E86">#REF!</definedName>
    <definedName name="TotalBreakdwn.Resultat.E88">#REF!</definedName>
    <definedName name="TotalBreakdwn.Resultat.E9">#REF!</definedName>
    <definedName name="TotalBreakdwn.Resultat.E90">#REF!</definedName>
    <definedName name="TotalBreakdwn.Resultat.E92">#REF!</definedName>
    <definedName name="TotalBreakdwn.Resultat.E94">#REF!</definedName>
    <definedName name="TotalBreakdwn.Resultat.E95">#REF!</definedName>
    <definedName name="TotalBreakdwn.Resultat.E96">#REF!</definedName>
    <definedName name="TotalBreakdwn.Resultat.E98">#REF!</definedName>
    <definedName name="TotalBreakdwn.Resultat.G100">#REF!</definedName>
    <definedName name="TotalBreakdwn.Resultat.G102">#REF!</definedName>
    <definedName name="TotalBreakdwn.Resultat.G103">#REF!</definedName>
    <definedName name="TotalBreakdwn.Resultat.G104">#REF!</definedName>
    <definedName name="TotalBreakdwn.Resultat.G106">#REF!</definedName>
    <definedName name="TotalBreakdwn.Resultat.G108">#REF!</definedName>
    <definedName name="TotalBreakdwn.Resultat.G11">#REF!</definedName>
    <definedName name="TotalBreakdwn.Resultat.G110">#REF!</definedName>
    <definedName name="TotalBreakdwn.Resultat.G112">#REF!</definedName>
    <definedName name="TotalBreakdwn.Resultat.G113">#REF!</definedName>
    <definedName name="TotalBreakdwn.Resultat.G114">#REF!</definedName>
    <definedName name="TotalBreakdwn.Resultat.G115">#REF!</definedName>
    <definedName name="TotalBreakdwn.Resultat.G116">#REF!</definedName>
    <definedName name="TotalBreakdwn.Resultat.G117">#REF!</definedName>
    <definedName name="TotalBreakdwn.Resultat.G118">#REF!</definedName>
    <definedName name="TotalBreakdwn.Resultat.G119">#REF!</definedName>
    <definedName name="TotalBreakdwn.Resultat.G120">#REF!</definedName>
    <definedName name="TotalBreakdwn.Resultat.G121">#REF!</definedName>
    <definedName name="TotalBreakdwn.Resultat.G123">#REF!</definedName>
    <definedName name="TotalBreakdwn.Resultat.G124">#REF!</definedName>
    <definedName name="TotalBreakdwn.Resultat.G125">#REF!</definedName>
    <definedName name="TotalBreakdwn.Resultat.G126">#REF!</definedName>
    <definedName name="TotalBreakdwn.Resultat.G127">#REF!</definedName>
    <definedName name="TotalBreakdwn.Resultat.G128">#REF!</definedName>
    <definedName name="TotalBreakdwn.Resultat.G13">#REF!</definedName>
    <definedName name="TotalBreakdwn.Resultat.G15">#REF!</definedName>
    <definedName name="TotalBreakdwn.Resultat.G17">#REF!</definedName>
    <definedName name="TotalBreakdwn.Resultat.G19">#REF!</definedName>
    <definedName name="TotalBreakdwn.Resultat.G20">#REF!</definedName>
    <definedName name="TotalBreakdwn.Resultat.G21">#REF!</definedName>
    <definedName name="TotalBreakdwn.Resultat.G22">#REF!</definedName>
    <definedName name="TotalBreakdwn.Resultat.G23">#REF!</definedName>
    <definedName name="TotalBreakdwn.Resultat.G24">#REF!</definedName>
    <definedName name="TotalBreakdwn.Resultat.G25">#REF!</definedName>
    <definedName name="TotalBreakdwn.Resultat.G26">#REF!</definedName>
    <definedName name="TotalBreakdwn.Resultat.G27">#REF!</definedName>
    <definedName name="TotalBreakdwn.Resultat.G28">#REF!</definedName>
    <definedName name="TotalBreakdwn.Resultat.G30">#REF!</definedName>
    <definedName name="TotalBreakdwn.Resultat.G32">#REF!</definedName>
    <definedName name="TotalBreakdwn.Resultat.G33">#REF!</definedName>
    <definedName name="TotalBreakdwn.Resultat.G34">#REF!</definedName>
    <definedName name="TotalBreakdwn.Resultat.G36">#REF!</definedName>
    <definedName name="TotalBreakdwn.Resultat.G38">#REF!</definedName>
    <definedName name="TotalBreakdwn.Resultat.G39">#REF!</definedName>
    <definedName name="TotalBreakdwn.Resultat.G40">#REF!</definedName>
    <definedName name="TotalBreakdwn.Resultat.G41">#REF!</definedName>
    <definedName name="TotalBreakdwn.Resultat.G43">#REF!</definedName>
    <definedName name="TotalBreakdwn.Resultat.G44">#REF!</definedName>
    <definedName name="TotalBreakdwn.Resultat.G45">#REF!</definedName>
    <definedName name="TotalBreakdwn.Resultat.G46">#REF!</definedName>
    <definedName name="TotalBreakdwn.Resultat.G47">#REF!</definedName>
    <definedName name="TotalBreakdwn.Resultat.G49">#REF!</definedName>
    <definedName name="TotalBreakdwn.Resultat.G51">#REF!</definedName>
    <definedName name="TotalBreakdwn.Resultat.G53">#REF!</definedName>
    <definedName name="TotalBreakdwn.Resultat.G54">#REF!</definedName>
    <definedName name="TotalBreakdwn.Resultat.G55">#REF!</definedName>
    <definedName name="TotalBreakdwn.Resultat.G57">#REF!</definedName>
    <definedName name="TotalBreakdwn.Resultat.G59">#REF!</definedName>
    <definedName name="TotalBreakdwn.Resultat.G61">#REF!</definedName>
    <definedName name="TotalBreakdwn.Resultat.G63">#REF!</definedName>
    <definedName name="TotalBreakdwn.Resultat.G65">#REF!</definedName>
    <definedName name="TotalBreakdwn.Resultat.G67">#REF!</definedName>
    <definedName name="TotalBreakdwn.Resultat.G69">#REF!</definedName>
    <definedName name="TotalBreakdwn.Resultat.G7">#REF!</definedName>
    <definedName name="TotalBreakdwn.Resultat.G71">#REF!</definedName>
    <definedName name="TotalBreakdwn.Resultat.G73">#REF!</definedName>
    <definedName name="TotalBreakdwn.Resultat.G75">#REF!</definedName>
    <definedName name="TotalBreakdwn.Resultat.G76">#REF!</definedName>
    <definedName name="TotalBreakdwn.Resultat.G77">#REF!</definedName>
    <definedName name="TotalBreakdwn.Resultat.G79">#REF!</definedName>
    <definedName name="TotalBreakdwn.Resultat.G80">#REF!</definedName>
    <definedName name="TotalBreakdwn.Resultat.G81">#REF!</definedName>
    <definedName name="TotalBreakdwn.Resultat.G82">#REF!</definedName>
    <definedName name="TotalBreakdwn.Resultat.G83">#REF!</definedName>
    <definedName name="TotalBreakdwn.Resultat.G84">#REF!</definedName>
    <definedName name="TotalBreakdwn.Resultat.G85">#REF!</definedName>
    <definedName name="TotalBreakdwn.Resultat.G86">#REF!</definedName>
    <definedName name="TotalBreakdwn.Resultat.G88">#REF!</definedName>
    <definedName name="TotalBreakdwn.Resultat.G9">#REF!</definedName>
    <definedName name="TotalBreakdwn.Resultat.G90">#REF!</definedName>
    <definedName name="TotalBreakdwn.Resultat.G92">#REF!</definedName>
    <definedName name="TotalBreakdwn.Resultat.G94">#REF!</definedName>
    <definedName name="TotalBreakdwn.Resultat.G95">#REF!</definedName>
    <definedName name="TotalBreakdwn.Resultat.G96">#REF!</definedName>
    <definedName name="TotalBreakdwn.Resultat.G98">#REF!</definedName>
    <definedName name="TotalBreakdwn.Resultat.H100">#REF!</definedName>
    <definedName name="TotalBreakdwn.Resultat.H102">#REF!</definedName>
    <definedName name="TotalBreakdwn.Resultat.H103">#REF!</definedName>
    <definedName name="TotalBreakdwn.Resultat.H104">#REF!</definedName>
    <definedName name="TotalBreakdwn.Resultat.H106">#REF!</definedName>
    <definedName name="TotalBreakdwn.Resultat.H108">#REF!</definedName>
    <definedName name="TotalBreakdwn.Resultat.H11">#REF!</definedName>
    <definedName name="TotalBreakdwn.Resultat.H110">#REF!</definedName>
    <definedName name="TotalBreakdwn.Resultat.H112">#REF!</definedName>
    <definedName name="TotalBreakdwn.Resultat.H113">#REF!</definedName>
    <definedName name="TotalBreakdwn.Resultat.H114">#REF!</definedName>
    <definedName name="TotalBreakdwn.Resultat.H115">#REF!</definedName>
    <definedName name="TotalBreakdwn.Resultat.H116">#REF!</definedName>
    <definedName name="TotalBreakdwn.Resultat.H117">#REF!</definedName>
    <definedName name="TotalBreakdwn.Resultat.H118">#REF!</definedName>
    <definedName name="TotalBreakdwn.Resultat.H119">#REF!</definedName>
    <definedName name="TotalBreakdwn.Resultat.H120">#REF!</definedName>
    <definedName name="TotalBreakdwn.Resultat.H121">#REF!</definedName>
    <definedName name="TotalBreakdwn.Resultat.H123">#REF!</definedName>
    <definedName name="TotalBreakdwn.Resultat.H124">#REF!</definedName>
    <definedName name="TotalBreakdwn.Resultat.H125">#REF!</definedName>
    <definedName name="TotalBreakdwn.Resultat.H126">#REF!</definedName>
    <definedName name="TotalBreakdwn.Resultat.H127">#REF!</definedName>
    <definedName name="TotalBreakdwn.Resultat.H128">#REF!</definedName>
    <definedName name="TotalBreakdwn.Resultat.H13">#REF!</definedName>
    <definedName name="TotalBreakdwn.Resultat.H15">#REF!</definedName>
    <definedName name="TotalBreakdwn.Resultat.H17">#REF!</definedName>
    <definedName name="TotalBreakdwn.Resultat.H19">#REF!</definedName>
    <definedName name="TotalBreakdwn.Resultat.H20">#REF!</definedName>
    <definedName name="TotalBreakdwn.Resultat.H21">#REF!</definedName>
    <definedName name="TotalBreakdwn.Resultat.H22">#REF!</definedName>
    <definedName name="TotalBreakdwn.Resultat.H23">#REF!</definedName>
    <definedName name="TotalBreakdwn.Resultat.H24">#REF!</definedName>
    <definedName name="TotalBreakdwn.Resultat.H25">#REF!</definedName>
    <definedName name="TotalBreakdwn.Resultat.H26">#REF!</definedName>
    <definedName name="TotalBreakdwn.Resultat.H27">#REF!</definedName>
    <definedName name="TotalBreakdwn.Resultat.H28">#REF!</definedName>
    <definedName name="TotalBreakdwn.Resultat.H30">#REF!</definedName>
    <definedName name="TotalBreakdwn.Resultat.H32">#REF!</definedName>
    <definedName name="TotalBreakdwn.Resultat.H33">#REF!</definedName>
    <definedName name="TotalBreakdwn.Resultat.H34">#REF!</definedName>
    <definedName name="TotalBreakdwn.Resultat.H36">#REF!</definedName>
    <definedName name="TotalBreakdwn.Resultat.H38">#REF!</definedName>
    <definedName name="TotalBreakdwn.Resultat.H39">#REF!</definedName>
    <definedName name="TotalBreakdwn.Resultat.H40">#REF!</definedName>
    <definedName name="TotalBreakdwn.Resultat.H41">#REF!</definedName>
    <definedName name="TotalBreakdwn.Resultat.H43">#REF!</definedName>
    <definedName name="TotalBreakdwn.Resultat.H44">#REF!</definedName>
    <definedName name="TotalBreakdwn.Resultat.H45">#REF!</definedName>
    <definedName name="TotalBreakdwn.Resultat.H46">#REF!</definedName>
    <definedName name="TotalBreakdwn.Resultat.H47">#REF!</definedName>
    <definedName name="TotalBreakdwn.Resultat.H49">#REF!</definedName>
    <definedName name="TotalBreakdwn.Resultat.H51">#REF!</definedName>
    <definedName name="TotalBreakdwn.Resultat.H53">#REF!</definedName>
    <definedName name="TotalBreakdwn.Resultat.H54">#REF!</definedName>
    <definedName name="TotalBreakdwn.Resultat.H55">#REF!</definedName>
    <definedName name="TotalBreakdwn.Resultat.H57">#REF!</definedName>
    <definedName name="TotalBreakdwn.Resultat.H59">#REF!</definedName>
    <definedName name="TotalBreakdwn.Resultat.H61">#REF!</definedName>
    <definedName name="TotalBreakdwn.Resultat.H63">#REF!</definedName>
    <definedName name="TotalBreakdwn.Resultat.H65">#REF!</definedName>
    <definedName name="TotalBreakdwn.Resultat.H67">#REF!</definedName>
    <definedName name="TotalBreakdwn.Resultat.H69">#REF!</definedName>
    <definedName name="TotalBreakdwn.Resultat.H7">#REF!</definedName>
    <definedName name="TotalBreakdwn.Resultat.H71">#REF!</definedName>
    <definedName name="TotalBreakdwn.Resultat.H73">#REF!</definedName>
    <definedName name="TotalBreakdwn.Resultat.H75">#REF!</definedName>
    <definedName name="TotalBreakdwn.Resultat.H76">#REF!</definedName>
    <definedName name="TotalBreakdwn.Resultat.H77">#REF!</definedName>
    <definedName name="TotalBreakdwn.Resultat.H79">#REF!</definedName>
    <definedName name="TotalBreakdwn.Resultat.H80">#REF!</definedName>
    <definedName name="TotalBreakdwn.Resultat.H81">#REF!</definedName>
    <definedName name="TotalBreakdwn.Resultat.H82">#REF!</definedName>
    <definedName name="TotalBreakdwn.Resultat.H83">#REF!</definedName>
    <definedName name="TotalBreakdwn.Resultat.H84">#REF!</definedName>
    <definedName name="TotalBreakdwn.Resultat.H85">#REF!</definedName>
    <definedName name="TotalBreakdwn.Resultat.H86">#REF!</definedName>
    <definedName name="TotalBreakdwn.Resultat.H88">#REF!</definedName>
    <definedName name="TotalBreakdwn.Resultat.H9">#REF!</definedName>
    <definedName name="TotalBreakdwn.Resultat.H90">#REF!</definedName>
    <definedName name="TotalBreakdwn.Resultat.H92">#REF!</definedName>
    <definedName name="TotalBreakdwn.Resultat.H94">#REF!</definedName>
    <definedName name="TotalBreakdwn.Resultat.H95">#REF!</definedName>
    <definedName name="TotalBreakdwn.Resultat.H96">#REF!</definedName>
    <definedName name="TotalBreakdwn.Resultat.H98">#REF!</definedName>
    <definedName name="TotalBreakdwn.Resultat.I100">#REF!</definedName>
    <definedName name="TotalBreakdwn.Resultat.I102">#REF!</definedName>
    <definedName name="TotalBreakdwn.Resultat.I103">#REF!</definedName>
    <definedName name="TotalBreakdwn.Resultat.I104">#REF!</definedName>
    <definedName name="TotalBreakdwn.Resultat.I106">#REF!</definedName>
    <definedName name="TotalBreakdwn.Resultat.I108">#REF!</definedName>
    <definedName name="TotalBreakdwn.Resultat.I11">#REF!</definedName>
    <definedName name="TotalBreakdwn.Resultat.I110">#REF!</definedName>
    <definedName name="TotalBreakdwn.Resultat.I112">#REF!</definedName>
    <definedName name="TotalBreakdwn.Resultat.I113">#REF!</definedName>
    <definedName name="TotalBreakdwn.Resultat.I114">#REF!</definedName>
    <definedName name="TotalBreakdwn.Resultat.I115">#REF!</definedName>
    <definedName name="TotalBreakdwn.Resultat.I116">#REF!</definedName>
    <definedName name="TotalBreakdwn.Resultat.I117">#REF!</definedName>
    <definedName name="TotalBreakdwn.Resultat.I118">#REF!</definedName>
    <definedName name="TotalBreakdwn.Resultat.I119">#REF!</definedName>
    <definedName name="TotalBreakdwn.Resultat.I120">#REF!</definedName>
    <definedName name="TotalBreakdwn.Resultat.I121">#REF!</definedName>
    <definedName name="TotalBreakdwn.Resultat.I123">#REF!</definedName>
    <definedName name="TotalBreakdwn.Resultat.I124">#REF!</definedName>
    <definedName name="TotalBreakdwn.Resultat.I125">#REF!</definedName>
    <definedName name="TotalBreakdwn.Resultat.I126">#REF!</definedName>
    <definedName name="TotalBreakdwn.Resultat.I127">#REF!</definedName>
    <definedName name="TotalBreakdwn.Resultat.I128">#REF!</definedName>
    <definedName name="TotalBreakdwn.Resultat.I13">#REF!</definedName>
    <definedName name="TotalBreakdwn.Resultat.I15">#REF!</definedName>
    <definedName name="TotalBreakdwn.Resultat.I17">#REF!</definedName>
    <definedName name="TotalBreakdwn.Resultat.I19">#REF!</definedName>
    <definedName name="TotalBreakdwn.Resultat.I20">#REF!</definedName>
    <definedName name="TotalBreakdwn.Resultat.I21">#REF!</definedName>
    <definedName name="TotalBreakdwn.Resultat.I22">#REF!</definedName>
    <definedName name="TotalBreakdwn.Resultat.I23">#REF!</definedName>
    <definedName name="TotalBreakdwn.Resultat.I24">#REF!</definedName>
    <definedName name="TotalBreakdwn.Resultat.I25">#REF!</definedName>
    <definedName name="TotalBreakdwn.Resultat.I26">#REF!</definedName>
    <definedName name="TotalBreakdwn.Resultat.I27">#REF!</definedName>
    <definedName name="TotalBreakdwn.Resultat.I28">#REF!</definedName>
    <definedName name="TotalBreakdwn.Resultat.I30">#REF!</definedName>
    <definedName name="TotalBreakdwn.Resultat.I32">#REF!</definedName>
    <definedName name="TotalBreakdwn.Resultat.I33">#REF!</definedName>
    <definedName name="TotalBreakdwn.Resultat.I34">#REF!</definedName>
    <definedName name="TotalBreakdwn.Resultat.I36">#REF!</definedName>
    <definedName name="TotalBreakdwn.Resultat.I38">#REF!</definedName>
    <definedName name="TotalBreakdwn.Resultat.I39">#REF!</definedName>
    <definedName name="TotalBreakdwn.Resultat.I40">#REF!</definedName>
    <definedName name="TotalBreakdwn.Resultat.I41">#REF!</definedName>
    <definedName name="TotalBreakdwn.Resultat.I43">#REF!</definedName>
    <definedName name="TotalBreakdwn.Resultat.I44">#REF!</definedName>
    <definedName name="TotalBreakdwn.Resultat.I45">#REF!</definedName>
    <definedName name="TotalBreakdwn.Resultat.I46">#REF!</definedName>
    <definedName name="TotalBreakdwn.Resultat.I47">#REF!</definedName>
    <definedName name="TotalBreakdwn.Resultat.I49">#REF!</definedName>
    <definedName name="TotalBreakdwn.Resultat.I51">#REF!</definedName>
    <definedName name="TotalBreakdwn.Resultat.I53">#REF!</definedName>
    <definedName name="TotalBreakdwn.Resultat.I54">#REF!</definedName>
    <definedName name="TotalBreakdwn.Resultat.I55">#REF!</definedName>
    <definedName name="TotalBreakdwn.Resultat.I57">#REF!</definedName>
    <definedName name="TotalBreakdwn.Resultat.I59">#REF!</definedName>
    <definedName name="TotalBreakdwn.Resultat.I61">#REF!</definedName>
    <definedName name="TotalBreakdwn.Resultat.I63">#REF!</definedName>
    <definedName name="TotalBreakdwn.Resultat.I65">#REF!</definedName>
    <definedName name="TotalBreakdwn.Resultat.I67">#REF!</definedName>
    <definedName name="TotalBreakdwn.Resultat.I69">#REF!</definedName>
    <definedName name="TotalBreakdwn.Resultat.I7">#REF!</definedName>
    <definedName name="TotalBreakdwn.Resultat.I71">#REF!</definedName>
    <definedName name="TotalBreakdwn.Resultat.I73">#REF!</definedName>
    <definedName name="TotalBreakdwn.Resultat.I75">#REF!</definedName>
    <definedName name="TotalBreakdwn.Resultat.I76">#REF!</definedName>
    <definedName name="TotalBreakdwn.Resultat.I77">#REF!</definedName>
    <definedName name="TotalBreakdwn.Resultat.I79">#REF!</definedName>
    <definedName name="TotalBreakdwn.Resultat.I80">#REF!</definedName>
    <definedName name="TotalBreakdwn.Resultat.I81">#REF!</definedName>
    <definedName name="TotalBreakdwn.Resultat.I82">#REF!</definedName>
    <definedName name="TotalBreakdwn.Resultat.I83">#REF!</definedName>
    <definedName name="TotalBreakdwn.Resultat.I84">#REF!</definedName>
    <definedName name="TotalBreakdwn.Resultat.I85">#REF!</definedName>
    <definedName name="TotalBreakdwn.Resultat.I86">#REF!</definedName>
    <definedName name="TotalBreakdwn.Resultat.I88">#REF!</definedName>
    <definedName name="TotalBreakdwn.Resultat.I9">#REF!</definedName>
    <definedName name="TotalBreakdwn.Resultat.I90">#REF!</definedName>
    <definedName name="TotalBreakdwn.Resultat.I92">#REF!</definedName>
    <definedName name="TotalBreakdwn.Resultat.I94">#REF!</definedName>
    <definedName name="TotalBreakdwn.Resultat.I95">#REF!</definedName>
    <definedName name="TotalBreakdwn.Resultat.I96">#REF!</definedName>
    <definedName name="TotalBreakdwn.Resultat.I98">#REF!</definedName>
    <definedName name="TotalBreakdwn.Resultat.J100">#REF!</definedName>
    <definedName name="TotalBreakdwn.Resultat.J102">#REF!</definedName>
    <definedName name="TotalBreakdwn.Resultat.J103">#REF!</definedName>
    <definedName name="TotalBreakdwn.Resultat.J104">#REF!</definedName>
    <definedName name="TotalBreakdwn.Resultat.J106">#REF!</definedName>
    <definedName name="TotalBreakdwn.Resultat.J108">#REF!</definedName>
    <definedName name="TotalBreakdwn.Resultat.J11">#REF!</definedName>
    <definedName name="TotalBreakdwn.Resultat.J110">#REF!</definedName>
    <definedName name="TotalBreakdwn.Resultat.J112">#REF!</definedName>
    <definedName name="TotalBreakdwn.Resultat.J113">#REF!</definedName>
    <definedName name="TotalBreakdwn.Resultat.J114">#REF!</definedName>
    <definedName name="TotalBreakdwn.Resultat.J115">#REF!</definedName>
    <definedName name="TotalBreakdwn.Resultat.J116">#REF!</definedName>
    <definedName name="TotalBreakdwn.Resultat.J117">#REF!</definedName>
    <definedName name="TotalBreakdwn.Resultat.J118">#REF!</definedName>
    <definedName name="TotalBreakdwn.Resultat.J119">#REF!</definedName>
    <definedName name="TotalBreakdwn.Resultat.J120">#REF!</definedName>
    <definedName name="TotalBreakdwn.Resultat.J121">#REF!</definedName>
    <definedName name="TotalBreakdwn.Resultat.J123">#REF!</definedName>
    <definedName name="TotalBreakdwn.Resultat.J124">#REF!</definedName>
    <definedName name="TotalBreakdwn.Resultat.J125">#REF!</definedName>
    <definedName name="TotalBreakdwn.Resultat.J126">#REF!</definedName>
    <definedName name="TotalBreakdwn.Resultat.J127">#REF!</definedName>
    <definedName name="TotalBreakdwn.Resultat.J128">#REF!</definedName>
    <definedName name="TotalBreakdwn.Resultat.J13">#REF!</definedName>
    <definedName name="TotalBreakdwn.Resultat.J15">#REF!</definedName>
    <definedName name="TotalBreakdwn.Resultat.J17">#REF!</definedName>
    <definedName name="TotalBreakdwn.Resultat.J19">#REF!</definedName>
    <definedName name="TotalBreakdwn.Resultat.J20">#REF!</definedName>
    <definedName name="TotalBreakdwn.Resultat.J21">#REF!</definedName>
    <definedName name="TotalBreakdwn.Resultat.J22">#REF!</definedName>
    <definedName name="TotalBreakdwn.Resultat.J23">#REF!</definedName>
    <definedName name="TotalBreakdwn.Resultat.J24">#REF!</definedName>
    <definedName name="TotalBreakdwn.Resultat.J25">#REF!</definedName>
    <definedName name="TotalBreakdwn.Resultat.J26">#REF!</definedName>
    <definedName name="TotalBreakdwn.Resultat.J27">#REF!</definedName>
    <definedName name="TotalBreakdwn.Resultat.J28">#REF!</definedName>
    <definedName name="TotalBreakdwn.Resultat.J30">#REF!</definedName>
    <definedName name="TotalBreakdwn.Resultat.J32">#REF!</definedName>
    <definedName name="TotalBreakdwn.Resultat.J33">#REF!</definedName>
    <definedName name="TotalBreakdwn.Resultat.J34">#REF!</definedName>
    <definedName name="TotalBreakdwn.Resultat.J36">#REF!</definedName>
    <definedName name="TotalBreakdwn.Resultat.J38">#REF!</definedName>
    <definedName name="TotalBreakdwn.Resultat.J39">#REF!</definedName>
    <definedName name="TotalBreakdwn.Resultat.J40">#REF!</definedName>
    <definedName name="TotalBreakdwn.Resultat.J41">#REF!</definedName>
    <definedName name="TotalBreakdwn.Resultat.J43">#REF!</definedName>
    <definedName name="TotalBreakdwn.Resultat.J44">#REF!</definedName>
    <definedName name="TotalBreakdwn.Resultat.J45">#REF!</definedName>
    <definedName name="TotalBreakdwn.Resultat.J46">#REF!</definedName>
    <definedName name="TotalBreakdwn.Resultat.J47">#REF!</definedName>
    <definedName name="TotalBreakdwn.Resultat.J49">#REF!</definedName>
    <definedName name="TotalBreakdwn.Resultat.J51">#REF!</definedName>
    <definedName name="TotalBreakdwn.Resultat.J53">#REF!</definedName>
    <definedName name="TotalBreakdwn.Resultat.J54">#REF!</definedName>
    <definedName name="TotalBreakdwn.Resultat.J55">#REF!</definedName>
    <definedName name="TotalBreakdwn.Resultat.J57">#REF!</definedName>
    <definedName name="TotalBreakdwn.Resultat.J59">#REF!</definedName>
    <definedName name="TotalBreakdwn.Resultat.J61">#REF!</definedName>
    <definedName name="TotalBreakdwn.Resultat.J63">#REF!</definedName>
    <definedName name="TotalBreakdwn.Resultat.J65">#REF!</definedName>
    <definedName name="TotalBreakdwn.Resultat.J67">#REF!</definedName>
    <definedName name="TotalBreakdwn.Resultat.J69">#REF!</definedName>
    <definedName name="TotalBreakdwn.Resultat.J7">#REF!</definedName>
    <definedName name="TotalBreakdwn.Resultat.J71">#REF!</definedName>
    <definedName name="TotalBreakdwn.Resultat.J73">#REF!</definedName>
    <definedName name="TotalBreakdwn.Resultat.J75">#REF!</definedName>
    <definedName name="TotalBreakdwn.Resultat.J76">#REF!</definedName>
    <definedName name="TotalBreakdwn.Resultat.J77">#REF!</definedName>
    <definedName name="TotalBreakdwn.Resultat.J79">#REF!</definedName>
    <definedName name="TotalBreakdwn.Resultat.J80">#REF!</definedName>
    <definedName name="TotalBreakdwn.Resultat.J81">#REF!</definedName>
    <definedName name="TotalBreakdwn.Resultat.J82">#REF!</definedName>
    <definedName name="TotalBreakdwn.Resultat.J83">#REF!</definedName>
    <definedName name="TotalBreakdwn.Resultat.J84">#REF!</definedName>
    <definedName name="TotalBreakdwn.Resultat.J85">#REF!</definedName>
    <definedName name="TotalBreakdwn.Resultat.J86">#REF!</definedName>
    <definedName name="TotalBreakdwn.Resultat.J88">#REF!</definedName>
    <definedName name="TotalBreakdwn.Resultat.J9">#REF!</definedName>
    <definedName name="TotalBreakdwn.Resultat.J90">#REF!</definedName>
    <definedName name="TotalBreakdwn.Resultat.J92">#REF!</definedName>
    <definedName name="TotalBreakdwn.Resultat.J94">#REF!</definedName>
    <definedName name="TotalBreakdwn.Resultat.J95">#REF!</definedName>
    <definedName name="TotalBreakdwn.Resultat.J96">#REF!</definedName>
    <definedName name="TotalBreakdwn.Resultat.J98">#REF!</definedName>
    <definedName name="TotalBreakdwn.Resultat.K100">#REF!</definedName>
    <definedName name="TotalBreakdwn.Resultat.K102">#REF!</definedName>
    <definedName name="TotalBreakdwn.Resultat.K104">#REF!</definedName>
    <definedName name="TotalBreakdwn.Resultat.K106">#REF!</definedName>
    <definedName name="TotalBreakdwn.Resultat.K108">#REF!</definedName>
    <definedName name="TotalBreakdwn.Resultat.K11">#REF!</definedName>
    <definedName name="TotalBreakdwn.Resultat.K110">#REF!</definedName>
    <definedName name="TotalBreakdwn.Resultat.K112">#REF!</definedName>
    <definedName name="TotalBreakdwn.Resultat.K113">#REF!</definedName>
    <definedName name="TotalBreakdwn.Resultat.K115">#REF!</definedName>
    <definedName name="TotalBreakdwn.Resultat.K116">#REF!</definedName>
    <definedName name="TotalBreakdwn.Resultat.K117">#REF!</definedName>
    <definedName name="TotalBreakdwn.Resultat.K119">#REF!</definedName>
    <definedName name="TotalBreakdwn.Resultat.K124">#REF!</definedName>
    <definedName name="TotalBreakdwn.Resultat.K126">#REF!</definedName>
    <definedName name="TotalBreakdwn.Resultat.K128">#REF!</definedName>
    <definedName name="TotalBreakdwn.Resultat.K13">#REF!</definedName>
    <definedName name="TotalBreakdwn.Resultat.K15">#REF!</definedName>
    <definedName name="TotalBreakdwn.Resultat.K17">#REF!</definedName>
    <definedName name="TotalBreakdwn.Resultat.K19">#REF!</definedName>
    <definedName name="TotalBreakdwn.Resultat.K20">#REF!</definedName>
    <definedName name="TotalBreakdwn.Resultat.K22">#REF!</definedName>
    <definedName name="TotalBreakdwn.Resultat.K24">#REF!</definedName>
    <definedName name="TotalBreakdwn.Resultat.K26">#REF!</definedName>
    <definedName name="TotalBreakdwn.Resultat.K28">#REF!</definedName>
    <definedName name="TotalBreakdwn.Resultat.K30">#REF!</definedName>
    <definedName name="TotalBreakdwn.Resultat.K32">#REF!</definedName>
    <definedName name="TotalBreakdwn.Resultat.K33">#REF!</definedName>
    <definedName name="TotalBreakdwn.Resultat.K36">#REF!</definedName>
    <definedName name="TotalBreakdwn.Resultat.K39">#REF!</definedName>
    <definedName name="TotalBreakdwn.Resultat.K41">#REF!</definedName>
    <definedName name="TotalBreakdwn.Resultat.K43">#REF!</definedName>
    <definedName name="TotalBreakdwn.Resultat.K45">#REF!</definedName>
    <definedName name="TotalBreakdwn.Resultat.K46">#REF!</definedName>
    <definedName name="TotalBreakdwn.Resultat.K49">#REF!</definedName>
    <definedName name="TotalBreakdwn.Resultat.K51">#REF!</definedName>
    <definedName name="TotalBreakdwn.Resultat.K53">#REF!</definedName>
    <definedName name="TotalBreakdwn.Resultat.K55">#REF!</definedName>
    <definedName name="TotalBreakdwn.Resultat.K57">#REF!</definedName>
    <definedName name="TotalBreakdwn.Resultat.K59">#REF!</definedName>
    <definedName name="TotalBreakdwn.Resultat.K61">#REF!</definedName>
    <definedName name="TotalBreakdwn.Resultat.K63">#REF!</definedName>
    <definedName name="TotalBreakdwn.Resultat.K65">#REF!</definedName>
    <definedName name="TotalBreakdwn.Resultat.K67">#REF!</definedName>
    <definedName name="TotalBreakdwn.Resultat.K69">#REF!</definedName>
    <definedName name="TotalBreakdwn.Resultat.K7">#REF!</definedName>
    <definedName name="TotalBreakdwn.Resultat.K71">#REF!</definedName>
    <definedName name="TotalBreakdwn.Resultat.K73">#REF!</definedName>
    <definedName name="TotalBreakdwn.Resultat.K75">#REF!</definedName>
    <definedName name="TotalBreakdwn.Resultat.K76">#REF!</definedName>
    <definedName name="TotalBreakdwn.Resultat.K77">#REF!</definedName>
    <definedName name="TotalBreakdwn.Resultat.K80">#REF!</definedName>
    <definedName name="TotalBreakdwn.Resultat.K82">#REF!</definedName>
    <definedName name="TotalBreakdwn.Resultat.K84">#REF!</definedName>
    <definedName name="TotalBreakdwn.Resultat.K86">#REF!</definedName>
    <definedName name="TotalBreakdwn.Resultat.K88">#REF!</definedName>
    <definedName name="TotalBreakdwn.Resultat.K9">#REF!</definedName>
    <definedName name="TotalBreakdwn.Resultat.K90">#REF!</definedName>
    <definedName name="TotalBreakdwn.Resultat.K92">#REF!</definedName>
    <definedName name="TotalBreakdwn.Resultat.K94">#REF!</definedName>
    <definedName name="TotalBreakdwn.Resultat.K95">#REF!</definedName>
    <definedName name="TotalBreakdwn.Resultat.K98">#REF!</definedName>
    <definedName name="TotalBreakdwn.Resultat.L100">#REF!</definedName>
    <definedName name="TotalBreakdwn.Resultat.L102">#REF!</definedName>
    <definedName name="TotalBreakdwn.Resultat.L104">#REF!</definedName>
    <definedName name="TotalBreakdwn.Resultat.L106">#REF!</definedName>
    <definedName name="TotalBreakdwn.Resultat.L108">#REF!</definedName>
    <definedName name="TotalBreakdwn.Resultat.L11">#REF!</definedName>
    <definedName name="TotalBreakdwn.Resultat.L110">#REF!</definedName>
    <definedName name="TotalBreakdwn.Resultat.L112">#REF!</definedName>
    <definedName name="TotalBreakdwn.Resultat.L113">#REF!</definedName>
    <definedName name="TotalBreakdwn.Resultat.L115">#REF!</definedName>
    <definedName name="TotalBreakdwn.Resultat.L116">#REF!</definedName>
    <definedName name="TotalBreakdwn.Resultat.L117">#REF!</definedName>
    <definedName name="TotalBreakdwn.Resultat.L119">#REF!</definedName>
    <definedName name="TotalBreakdwn.Resultat.L124">#REF!</definedName>
    <definedName name="TotalBreakdwn.Resultat.L126">#REF!</definedName>
    <definedName name="TotalBreakdwn.Resultat.L128">#REF!</definedName>
    <definedName name="TotalBreakdwn.Resultat.L13">#REF!</definedName>
    <definedName name="TotalBreakdwn.Resultat.L15">#REF!</definedName>
    <definedName name="TotalBreakdwn.Resultat.L17">#REF!</definedName>
    <definedName name="TotalBreakdwn.Resultat.L19">#REF!</definedName>
    <definedName name="TotalBreakdwn.Resultat.L20">#REF!</definedName>
    <definedName name="TotalBreakdwn.Resultat.L22">#REF!</definedName>
    <definedName name="TotalBreakdwn.Resultat.L24">#REF!</definedName>
    <definedName name="TotalBreakdwn.Resultat.L26">#REF!</definedName>
    <definedName name="TotalBreakdwn.Resultat.L28">#REF!</definedName>
    <definedName name="TotalBreakdwn.Resultat.L30">#REF!</definedName>
    <definedName name="TotalBreakdwn.Resultat.L32">#REF!</definedName>
    <definedName name="TotalBreakdwn.Resultat.L33">#REF!</definedName>
    <definedName name="TotalBreakdwn.Resultat.L36">#REF!</definedName>
    <definedName name="TotalBreakdwn.Resultat.L39">#REF!</definedName>
    <definedName name="TotalBreakdwn.Resultat.L41">#REF!</definedName>
    <definedName name="TotalBreakdwn.Resultat.L43">#REF!</definedName>
    <definedName name="TotalBreakdwn.Resultat.L45">#REF!</definedName>
    <definedName name="TotalBreakdwn.Resultat.L46">#REF!</definedName>
    <definedName name="TotalBreakdwn.Resultat.L49">#REF!</definedName>
    <definedName name="TotalBreakdwn.Resultat.L51">#REF!</definedName>
    <definedName name="TotalBreakdwn.Resultat.L53">#REF!</definedName>
    <definedName name="TotalBreakdwn.Resultat.L55">#REF!</definedName>
    <definedName name="TotalBreakdwn.Resultat.L57">#REF!</definedName>
    <definedName name="TotalBreakdwn.Resultat.L59">#REF!</definedName>
    <definedName name="TotalBreakdwn.Resultat.L61">#REF!</definedName>
    <definedName name="TotalBreakdwn.Resultat.L63">#REF!</definedName>
    <definedName name="TotalBreakdwn.Resultat.L65">#REF!</definedName>
    <definedName name="TotalBreakdwn.Resultat.L67">#REF!</definedName>
    <definedName name="TotalBreakdwn.Resultat.L69">#REF!</definedName>
    <definedName name="TotalBreakdwn.Resultat.L7">#REF!</definedName>
    <definedName name="TotalBreakdwn.Resultat.L71">#REF!</definedName>
    <definedName name="TotalBreakdwn.Resultat.L73">#REF!</definedName>
    <definedName name="TotalBreakdwn.Resultat.L75">#REF!</definedName>
    <definedName name="TotalBreakdwn.Resultat.L76">#REF!</definedName>
    <definedName name="TotalBreakdwn.Resultat.L77">#REF!</definedName>
    <definedName name="TotalBreakdwn.Resultat.L80">#REF!</definedName>
    <definedName name="TotalBreakdwn.Resultat.L82">#REF!</definedName>
    <definedName name="TotalBreakdwn.Resultat.L84">#REF!</definedName>
    <definedName name="TotalBreakdwn.Resultat.L86">#REF!</definedName>
    <definedName name="TotalBreakdwn.Resultat.L88">#REF!</definedName>
    <definedName name="TotalBreakdwn.Resultat.L9">#REF!</definedName>
    <definedName name="TotalBreakdwn.Resultat.L90">#REF!</definedName>
    <definedName name="TotalBreakdwn.Resultat.L92">#REF!</definedName>
    <definedName name="TotalBreakdwn.Resultat.L94">#REF!</definedName>
    <definedName name="TotalBreakdwn.Resultat.L95">#REF!</definedName>
    <definedName name="TotalBreakdwn.Resultat.L98">#REF!</definedName>
    <definedName name="Travaux" hidden="1">{"'FRONT'!$B$3:$N$29"}</definedName>
    <definedName name="trc_XLS_DATASHEET_ProtectDate">37215.3660532407</definedName>
    <definedName name="trean">#REF!</definedName>
    <definedName name="trweqrtq" hidden="1">{"FOschedule1",#N/A,FALSE,"Sheet1";"FOschedule2",#N/A,FALSE,"Sheet1";"FOschedule3",#N/A,FALSE,"Sheet1"}</definedName>
    <definedName name="ttest" hidden="1">{"FOschedule1",#N/A,FALSE,"Sheet1";"FOschedule2",#N/A,FALSE,"Sheet1";"FOschedule3",#N/A,FALSE,"Sheet1"}</definedName>
    <definedName name="tunover3b" hidden="1">{"'KCF Bellies'!$D$95"}</definedName>
    <definedName name="tvåan">#REF!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p_p">#REF!</definedName>
    <definedName name="u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UdvVedligehold">"UdvVedligehold"</definedName>
    <definedName name="UK" hidden="1">{"Cover",#N/A,FALSE,"Cover";"Summary",#N/A,FALSE,"Summarpage"}</definedName>
    <definedName name="ukk" hidden="1">{"Cover",#N/A,FALSE,"Cover";"Summary",#N/A,FALSE,"Summarpage"}</definedName>
    <definedName name="ukkkkkk" hidden="1">{"Pulp Production",#N/A,FALSE,"Pulp";"Pulp Earnings",#N/A,FALSE,"Pulp"}</definedName>
    <definedName name="Unit_D">#REF!</definedName>
    <definedName name="Updflag">#REF!</definedName>
    <definedName name="UseQuickInput">#REF!</definedName>
    <definedName name="user">#REF!</definedName>
    <definedName name="Utskriftsområde_1">#N/A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_DI_AV_AJUSTEMENTS">#REF!</definedName>
    <definedName name="vak">#REF!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lues_Entered">IF(loan_amount*interest_rate*loan_years*loan_start&gt;0,1,0)</definedName>
    <definedName name="vat">#N/A</definedName>
    <definedName name="ver" hidden="1">#REF!</definedName>
    <definedName name="Viana_Fit_Out2" hidden="1">{"Assump1",#N/A,TRUE,"Assumptions";"Assump2",#N/A,TRUE,"Assumptions"}</definedName>
    <definedName name="Vicevært">"Vicevært"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VW_ENK">#REF!</definedName>
    <definedName name="VW_GIK">#REF!</definedName>
    <definedName name="VW_JReinE">#REF!</definedName>
    <definedName name="VW_JRohE">#REF!</definedName>
    <definedName name="VW_Lasten">#REF!</definedName>
    <definedName name="VW_Nettoanfangsrendite">#REF!</definedName>
    <definedName name="VW_Renov">#REF!</definedName>
    <definedName name="VW_Verkehrswert">#REF!</definedName>
    <definedName name="VWOVR_äquiv.Overrent">#REF!</definedName>
    <definedName name="VWOVR_Barwert">#REF!</definedName>
    <definedName name="VWOVR_JReinE.nachhaltig">#REF!</definedName>
    <definedName name="VWOVR_JRohE.nachhaltig">#REF!</definedName>
    <definedName name="VWOVR_Overrent">#REF!</definedName>
    <definedName name="VWOVR_Verkehrswert">#REF!</definedName>
    <definedName name="VWOVR_Vertragsmiete">#REF!</definedName>
    <definedName name="w" hidden="1">{"cap_structure",#N/A,FALSE,"Graph-Mkt Cap";"price",#N/A,FALSE,"Graph-Price";"ebit",#N/A,FALSE,"Graph-EBITDA";"ebitda",#N/A,FALSE,"Graph-EBITDA"}</definedName>
    <definedName name="wafe" hidden="1">{"summary1",#N/A,TRUE,"Comps";"summary2",#N/A,TRUE,"Comps";"summary3",#N/A,TRUE,"Comps"}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hidden="1">{"summary1",#N/A,TRUE,"Comps";"summary2",#N/A,TRUE,"Comps";"summary3",#N/A,TRUE,"Comps"}</definedName>
    <definedName name="weww" hidden="1">{"FOschedule1",#N/A,FALSE,"Sheet1";"FOschedule2",#N/A,FALSE,"Sheet1";"FOschedule3",#N/A,FALSE,"Sheet1"}</definedName>
    <definedName name="what_asdf2" hidden="1">{#N/A,#N/A,FALSE,"OperatingAssumptions"}</definedName>
    <definedName name="wqad" hidden="1">#REF!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n.1998._.Budget.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_.pagers." hidden="1">{"Cover",#N/A,FALSE,"Cover";"Summary",#N/A,FALSE,"Summarpage"}</definedName>
    <definedName name="wrn.2Q2002._.ALEE._.Estimates." hidden="1">{#N/A,#N/A,FALSE,"TOC";#N/A,#N/A,FALSE,"Narrative on Admin&amp;Op YtD_2Q02";#N/A,#N/A,FALSE,"Actuals &amp; Estimates vs. Budgets";#N/A,#N/A,FALSE,"Q2 YtD Estimate"}</definedName>
    <definedName name="wrn.3cases." hidden="1">{#N/A,"Base",FALSE,"Dividend";#N/A,"Conservative",FALSE,"Dividend";#N/A,"Downside",FALSE,"Dividend"}</definedName>
    <definedName name="wrn.3yr.CF." hidden="1">{"assume",#N/A,FALSE,"K&amp;20th Month CF";"MoCF",#N/A,FALSE,"K&amp;20th Month CF";"AnCF",#N/A,FALSE,"K&amp;20th Month CF"}</definedName>
    <definedName name="wrn.4._.pages." hidden="1">{#N/A,#N/A,TRUE,"CONCESSIONS";#N/A,#N/A,TRUE,"Concess Turnover";#N/A,#N/A,TRUE,"Concess Rent";#N/A,#N/A,TRUE,"LEISURESUMMARY"}</definedName>
    <definedName name="wrn.7._.year." hidden="1">{#N/A,#N/A,FALSE,"Summary";#N/A,#N/A,FALSE,"Portfolio Analysis (7)";#N/A,#N/A,FALSE,"Portfolio Return Breakdown (7)";#N/A,#N/A,FALSE,"The Johnston Building (7)";#N/A,#N/A,FALSE,"129 W.Trade (7)";#N/A,#N/A,FALSE,"Midtown Plaza (7)"}</definedName>
    <definedName name="wrn.99AdjBill." hidden="1">{#N/A,#N/A,FALSE,"CAM Spreadsheet-A";#N/A,#N/A,FALSE,"CAM Expenses";#N/A,#N/A,FALSE,"Roof Repairs";#N/A,#N/A,FALSE,"WtdAvgSum-G";#N/A,#N/A,FALSE,"Weighted Averag";#N/A,#N/A,FALSE,"Pool 2A";#N/A,#N/A,FALSE,"Pool 2B";#N/A,#N/A,FALSE,"Pool 3B";#N/A,#N/A,FALSE,"Pool 4B";#N/A,#N/A,FALSE,"Pool 1C";#N/A,#N/A,FALSE,"Pool 2C";#N/A,#N/A,FALSE,"Pool 5C";#N/A,#N/A,FALSE,"Radio Shack";#N/A,#N/A,FALSE,"Gottschalks"}</definedName>
    <definedName name="wrn.99AdjBill2" hidden="1">{#N/A,#N/A,FALSE,"CAM Spreadsheet-A";#N/A,#N/A,FALSE,"CAM Expenses";#N/A,#N/A,FALSE,"Roof Repairs";#N/A,#N/A,FALSE,"WtdAvgSum-G";#N/A,#N/A,FALSE,"Weighted Averag";#N/A,#N/A,FALSE,"Pool 2A";#N/A,#N/A,FALSE,"Pool 2B";#N/A,#N/A,FALSE,"Pool 3B";#N/A,#N/A,FALSE,"Pool 4B";#N/A,#N/A,FALSE,"Pool 1C";#N/A,#N/A,FALSE,"Pool 2C";#N/A,#N/A,FALSE,"Pool 5C";#N/A,#N/A,FALSE,"Radio Shack";#N/A,#N/A,FALSE,"Gottschalks"}</definedName>
    <definedName name="wrn.Accretion." hidden="1">{"Accretion",#N/A,FALSE,"Assum"}</definedName>
    <definedName name="wrn.AFI._.QUARTERLY._.REPORT." hidden="1">{#N/A,#N/A,TRUE,"TITLE";#N/A,#N/A,TRUE,"SCH 1";#N/A,#N/A,TRUE,"SCH 2";#N/A,#N/A,TRUE,"SCH 3";#N/A,#N/A,TRUE,"SCH3(A)"}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_.Schedules." hidden="1">{#N/A,#N/A,FALSE,"Schedule A";#N/A,#N/A,FALSE,"Schedule B";#N/A,#N/A,FALSE,"Schedule C";#N/A,#N/A,FALSE,"Schedule D";#N/A,#N/A,FALSE,"Schedule E";#N/A,#N/A,FALSE,"Schedule F";#N/A,#N/A,FALSE,"Schedule G";#N/A,#N/A,FALSE,"Schedule H";#N/A,#N/A,FALSE,"Schedule I";#N/A,#N/A,FALSE,"Schedule J"}</definedName>
    <definedName name="wrn.alle." hidden="1">{#N/A,#N/A,FALSE,"DECKBLATT";#N/A,#N/A,FALSE,"Expose_Seite_1";#N/A,#N/A,FALSE,"Expose_Seite_2";#N/A,#N/A,FALSE,"FINANZ_E";#N/A,#N/A,FALSE,"ZWIFI";#N/A,#N/A,FALSE,"ZAHLPLAN";#N/A,#N/A,FALSE,"STEUERN";#N/A,#N/A,FALSE,"LIQUIDITÄT";#N/A,#N/A,FALSE,"INVEST-E";#N/A,#N/A,FALSE,"IuF-kurz";#N/A,#N/A,FALSE,"IuF_lang";#N/A,#N/A,FALSE,"DARLEHEN_I";#N/A,#N/A,FALSE,"AFA_BMG";#N/A,#N/A,FALSE,"BEWIRT-E";#N/A,#N/A,FALSE,"MIETEN";#N/A,#N/A,FALSE,"Entw-Mieten";#N/A,#N/A,FALSE,"St-sätze";#N/A,#N/A,FALSE,"Beisp-2001";#N/A,#N/A,FALSE,"beisp_3d(01)";#N/A,#N/A,FALSE,"beisp_5d(01)"}</definedName>
    <definedName name="wrn.ALOB._.BOOK." hidden="1">{"CREF TOTAL",#N/A,FALSE,"ALOB_BOOK";"TIAA TOTAL",#N/A,FALSE,"ALOB_BOOK";"TIAA PENSION",#N/A,FALSE,"ALOB_BOOK";"GENERAL ACCOUNT PENSION",#N/A,FALSE,"ALOB_BOOK";"REAL ESTATE PENSION",#N/A,FALSE,"ALOB_BOOK";"TIAA NON-PENSION",#N/A,FALSE,"ALOB_BOOK";"INDIVIDUAL LIFE",#N/A,FALSE,"ALOB_BOOK";"GROUP LIFE",#N/A,FALSE,"ALOB_BOOK";"GROUP LTD",#N/A,FALSE,"ALOB_BOOK";"LTC",#N/A,FALSE,"ALOB_BOOK";"TPA TOTAL",#N/A,FALSE,"ALOB_BOOK";"TPA (FIXED)",#N/A,FALSE,"ALOB_BOOK";"TPA (VARIABLE)",#N/A,FALSE,"ALOB_BOOK";"NP AND SC",#N/A,FALSE,"ALOB_BOOK";"PROCEEDS PLUS",#N/A,FALSE,"ALOB_BOOK";"MUTUAL FUNDS TOTAL",#N/A,FALSE,"MUTUAL FUND_LOB"}</definedName>
    <definedName name="wrn.ALOB._.CHK." hidden="1">{#N/A,#N/A,FALSE,"PENSION";#N/A,#N/A,FALSE,"Exhibit 4";#N/A,#N/A,FALSE,"Exhibit 5 ";#N/A,#N/A,FALSE,"Exhibit 6 ";#N/A,#N/A,FALSE,"Group Disability";#N/A,#N/A,FALSE,"Group Life Combined"}</definedName>
    <definedName name="wrn.AnnualRentRoll" hidden="1">{"AnnualRentRoll",#N/A,FALSE,"RentRoll"}</definedName>
    <definedName name="wrn.AnnualRentRoll." hidden="1">{"AnnualRentRoll",#N/A,FALSE,"RentRoll"}</definedName>
    <definedName name="wrn.annualrentroll2" hidden="1">{"AnnualRentRoll",#N/A,FALSE,"RentRoll"}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ssumptions." hidden="1">{"Assump1",#N/A,TRUE,"Assumptions";"Assump2",#N/A,TRUE,"Assumptions"}</definedName>
    <definedName name="wrn.backup." hidden="1">{"financials",#N/A,FALSE,"BASIC";"interest",#N/A,FALSE,"BASIC";"leasing and financing",#N/A,FALSE,"BASIC";"returns back up",#N/A,FALSE,"BASIC"}</definedName>
    <definedName name="wrn.backup._1" hidden="1">{"financials",#N/A,FALSE,"BASIC";"interest",#N/A,FALSE,"BASIC";"leasing and financing",#N/A,FALSE,"BASIC";"returns back up",#N/A,FALSE,"BASIC"}</definedName>
    <definedName name="wrn.bank._.model." hidden="1">{"banks",#N/A,FALSE,"BASIC"}</definedName>
    <definedName name="wrn.bank._.model._1" hidden="1">{"banks",#N/A,FALSE,"BASIC"}</definedName>
    <definedName name="wrn.BCN._.REVISED." hidden="1">{#N/A,#N/A,FALSE,"Income Statement - Phase II";#N/A,#N/A,FALSE,"Balance Sheet Phase II";#N/A,#N/A,FALSE,"Transaction Costs";#N/A,#N/A,FALSE,"Debt &amp; Equity Detail";#N/A,#N/A,FALSE,"G&amp;A Reduction - 25%";#N/A,#N/A,FALSE,"G&amp;A Reduction - 50%";#N/A,#N/A,FALSE,"G&amp;A Reduction - 75%";#N/A,#N/A,FALSE,"GandA Reduction Detail"}</definedName>
    <definedName name="wrn.BCNPROJ." hidden="1">{#N/A,#N/A,FALSE,"Income Statement";#N/A,#N/A,FALSE,"Balance Sheet";#N/A,#N/A,FALSE,"Sheet5";#N/A,#N/A,FALSE,"Debt &amp; Equity Detail"}</definedName>
    <definedName name="wrn.Bind." hidden="1">{"BinderView",#N/A,FALSE,"SUMMARY";"Binder",#N/A,FALSE,"AMORTIZATION";"Binder",#N/A,FALSE,"STRLINE"}</definedName>
    <definedName name="wrn.Binder." hidden="1">{"Binder",#N/A,FALSE,"VARIANCES";"Binder",#N/A,FALSE,"DEPR";"Binder",#N/A,FALSE,"BAD DEBTS";"Binder",#N/A,FALSE,"ARrec";"Binder",#N/A,FALSE,"RECOVER";"Binder",#N/A,FALSE,"CAM DEPR";"Binder",#N/A,FALSE,"%RENT";"Binder",#N/A,FALSE,"NEWFASB";"Binder",#N/A,FALSE,"UNOREC CALC";"Binder",#N/A,FALSE,"MIE CALC";"Binder",#N/A,FALSE,"AMORT";"Binder",#N/A,FALSE,"6%LSE TEST";"Binder",#N/A,FALSE,"TI DETAIL";"Binder",#N/A,FALSE,"OTHER ASSETS";"Binder",#N/A,FALSE,"INTERCO";"Binder",#N/A,FALSE,"MGMT FEE";"Binder",#N/A,FALSE,"CIP INTEREST";"Binder",#N/A,FALSE,"CIP";"Binder",#N/A,FALSE,"RE TAXES";"Binder",#N/A,FALSE,"PAYROLL";"Binder",#N/A,FALSE,"OTHER LIAB";"Binder",#N/A,FALSE,"EQUITY"}</definedName>
    <definedName name="wrn.bleu4." hidden="1">{#N/A,#N/A,FALSE}</definedName>
    <definedName name="wrn.Book._.Reports." hidden="1">{"Current Month",#N/A,FALSE,"Current Compar.";"Year-To-Date",#N/A,FALSE,"Year Comparison";"Forecast",#N/A,FALSE,"Comparison NOI";"Actual Input",#N/A,FALSE,"Act...Ratios"}</definedName>
    <definedName name="wrn.CAPREIT." hidden="1">{#N/A,#N/A,FALSE,"CAPREIT"}</definedName>
    <definedName name="wrn.CAPREIT2" hidden="1">{#N/A,#N/A,FALSE,"CAPREIT"}</definedName>
    <definedName name="wrn.Cash._.Flow._.Analysis." hidden="1">{"CF",#N/A,FALSE,"Cash Flow";"RET",#N/A,FALSE,"Returns";"NPV",#N/A,FALSE,"Values";"ASMPT",#N/A,FALSE,"Assumptions"}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art._.14." hidden="1">{#N/A,#N/A,FALSE,"TIAA RBC"}</definedName>
    <definedName name="wrn.CHART10A." hidden="1">{"CHART10A",#N/A,FALSE,"CHART12"}</definedName>
    <definedName name="wrn.CHART10B." hidden="1">{"CHART10B",#N/A,FALSE,"CHART12"}</definedName>
    <definedName name="wrn.CHART11A." hidden="1">{"CHART11A",#N/A,FALSE,"CHART12"}</definedName>
    <definedName name="wrn.CHART11B." hidden="1">{"CHART11B",#N/A,FALSE,"CHART11B"}</definedName>
    <definedName name="wrn.CHART12." hidden="1">{"CHART12",#N/A,FALSE,"CHART12"}</definedName>
    <definedName name="wrn.CHART13." hidden="1">{"CHART13",#N/A,FALSE,"CHART13"}</definedName>
    <definedName name="wrn.CHART16." hidden="1">{"CHART16",#N/A,FALSE,"CHART16"}</definedName>
    <definedName name="wrn.CHART1A." hidden="1">{#N/A,#N/A,FALSE,"CHART1A"}</definedName>
    <definedName name="wrn.CHART1B." hidden="1">{"CHART1B",#N/A,FALSE,"CHART13"}</definedName>
    <definedName name="wrn.CHART2A." hidden="1">{#N/A,#N/A,FALSE,"CHART2A"}</definedName>
    <definedName name="wrn.CHART2B." hidden="1">{"CHART2B",#N/A,FALSE,"CHART12"}</definedName>
    <definedName name="wrn.CHART3A." hidden="1">{"CHART3A",#N/A,FALSE,"CHART12"}</definedName>
    <definedName name="wrn.CHART3B." hidden="1">{"CHART3B",#N/A,FALSE,"CHART12"}</definedName>
    <definedName name="wrn.CHART4." hidden="1">{"CHART4",#N/A,FALSE,"CHART12"}</definedName>
    <definedName name="wrn.CHART5." hidden="1">{"CHART5",#N/A,FALSE,"CHART12"}</definedName>
    <definedName name="wrn.CHART6." hidden="1">{"CHART6",#N/A,FALSE,"CHART12"}</definedName>
    <definedName name="wrn.CHART7." hidden="1">{"CHART7",#N/A,FALSE,"CHART12"}</definedName>
    <definedName name="wrn.CHART8." hidden="1">{#N/A,#N/A,FALSE,"CHART8"}</definedName>
    <definedName name="wrn.CHART9." hidden="1">{#N/A,#N/A,FALSE,"CHART9"}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trol._.Sheet." hidden="1">{#N/A,#N/A,FALSE,"CONTROL"}</definedName>
    <definedName name="wrn.Cost." hidden="1">{"Cost",#N/A,FALSE,"Cost"}</definedName>
    <definedName name="wrn.Credit._.Summary." hidden="1">{#N/A,#N/A,FALSE,"CREDIT"}</definedName>
    <definedName name="wrn.CSSF._.ex._.USGAAP." hidden="1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istribution._.Economics." hidden="1">{#N/A,#N/A,FALSE,"Draw";#N/A,#N/A,FALSE,"PROFORMA";#N/A,#N/A,FALSE,"Assumptions";#N/A,#N/A,FALSE,"Costs"}</definedName>
    <definedName name="wrn.Engineering." hidden="1">{#N/A,#N/A,FALSE,"ENGINEERING"}</definedName>
    <definedName name="wrn.Entire._.Package." hidden="1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wrn.Environmental." hidden="1">{#N/A,#N/A,FALSE,"ENVIRONMENTAL"}</definedName>
    <definedName name="wrn.Exec._.Summary." hidden="1">{#N/A,#N/A,FALSE,"Index"}</definedName>
    <definedName name="wrn.EXHIBITS." hidden="1">{#N/A,#N/A,FALSE,"TOTAL";#N/A,#N/A,FALSE,"EXHIBIT 2";#N/A,#N/A,FALSE,"EXHIBIT 5A";#N/A,#N/A,FALSE,"EXHIBIT 5B";#N/A,#N/A,FALSE,"EXHIBIT 5";#N/A,#N/A,FALSE,"EXHIBIT COLL LIFE";#N/A,#N/A,FALSE,"EXHIBIT GRP LIFE";#N/A,#N/A,FALSE,"EXHIBIT COLL &amp; GRP LIFE";#N/A,#N/A,FALSE,"EXHIBIT GRP DISABILITY";#N/A,#N/A,FALSE,"EXHIBIT 6";#N/A,#N/A,FALSE,"EXHIBIT 7A";#N/A,#N/A,FALSE,"EXHIBIT 7B";#N/A,#N/A,FALSE,"EXHIBIT 7C";#N/A,#N/A,FALSE,"EXHIBIT 7";#N/A,#N/A,FALSE,"EXHIBIT 10";#N/A,#N/A,FALSE,"EXHIBIT PRO PLUS"}</definedName>
    <definedName name="wrn.ExitAndSalesAssumptions." hidden="1">{#N/A,#N/A,FALSE,"ExitStratigy"}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inancials." hidden="1">{#N/A,#N/A,FALSE,"Income Stmt";#N/A,#N/A,FALSE,"Income Summary"}</definedName>
    <definedName name="wrn.FOschedules." hidden="1">{"FOschedule1",#N/A,FALSE,"Sheet1";"FOschedule2",#N/A,FALSE,"Sheet1";"FOschedule3",#N/A,FALSE,"Sheet1"}</definedName>
    <definedName name="wrn.Full._.Report." hidden="1">{"Table of Contents",#N/A,FALSE,"Table of Contents";"Assumptions Checklist",#N/A,FALSE,"Projected Acq_Dis";"Yearly Assumptions",#N/A,FALSE,"Other Assumptions";"Annual Summary",#N/A,FALSE,"Summary";"1999 by Quarter Summary",#N/A,FALSE,"Summary";"2000 by Quarter Summary",#N/A,FALSE,"Summary";"Contribution to FFO",#N/A,FALSE,"CONT SUMMARY";"Contribution to FFO-Acq. &amp; Disp.",#N/A,FALSE,"CONT SUMMARY";"Contribution to FFO-Developments",#N/A,FALSE,"CONT SUMMARY";"Pivot Table Pro-Forma",#N/A,FALSE,"Pivot Table Proforma";"Pivot Table-Dispositions",#N/A,FALSE,"Pivot Table Dispositions";"Development Cash Flows",#N/A,FALSE,"Development Cash Flows";"Income from JVs",#N/A,FALSE,"Income from JV's";"Fee Income",#N/A,FALSE,"Fees noncombined affiliates";"Interest Income",#N/A,FALSE,"Interest Income";"Unsecured Debentures",#N/A,FALSE,"Unsecured Debentures";"secured interest",#N/A,FALSE,"Secured Existing Interest Pivot";"Extended Secured Debt",#N/A,FALSE,"Extended Secured Debt";"Capitalized Interest",#N/A,FALSE,"Capitalized Interest";"Secured Existing Debt",#N/A,FALSE,"Secured Existing Debt";"Secured Debt-Refinanced",#N/A,FALSE,"Secured Debt Refinanced";"principal payments",#N/A,FALSE,"Secured PrincPay Pivot";"Covenant Ratios",#N/A,FALSE,"Covenant Ratios";"Covenant Calculation",#N/A,FALSE,"Covenant Calculations";"Margins",#N/A,FALSE,"Margins";"GAAP to TAX",#N/A,FALSE,"GAAP to TAX";"Net Free CF-Paydown",#N/A,FALSE,"Net Free CF Revolver Paydown";"CAPX",#N/A,FALSE,"CAP X";"Balance Sheet",#N/A,FALSE,"Balance Sheet";"BSA99",#N/A,FALSE,"Balance Sheet Analysis";"BSA2000",#N/A,FALSE,"Balance Sheet Analysis";"BSA2001",#N/A,FALSE,"Balance Sheet Analysis";"Unencumbered Portfolio",#N/A,FALSE,"Unencumbered Portfolio "}</definedName>
    <definedName name="wrn.full._.report.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Y97SBP." hidden="1">{#N/A,#N/A,FALSE,"FY97";#N/A,#N/A,FALSE,"FY98";#N/A,#N/A,FALSE,"FY99";#N/A,#N/A,FALSE,"FY00";#N/A,#N/A,FALSE,"FY01"}</definedName>
    <definedName name="wrn.gros." hidden="1">{#N/A,#N/A,FALSE,"Sch01";#N/A,#N/A,FALSE,"Sch02";#N/A,#N/A,FALSE,"Sch04";#N/A,#N/A,FALSE,"Sch05";#N/A,#N/A,FALSE,"Sch05a";#N/A,#N/A,FALSE,"Sch06";#N/A,#N/A,FALSE,"Sch07";#N/A,#N/A,FALSE,"Sch08";#N/A,#N/A,FALSE,"Sch09";#N/A,#N/A,FALSE,"Sch10";#N/A,#N/A,FALSE,"Sch11";#N/A,#N/A,FALSE,"Sch12";#N/A,#N/A,FALSE,"Sch-C";#N/A,#N/A,FALSE,"Sch-E"}</definedName>
    <definedName name="wrn.Historical._.Rev._.Exp." hidden="1">{#N/A,#N/A,FALSE,"Historical Rev &amp; Exp"}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Income._.Statements." hidden="1">{"Summary_Annual",#N/A,FALSE,"Summary";"Summary__Quarterly",#N/A,FALSE,"Summary";"Summary__Current Year",#N/A,FALSE,"Summary";"Summary__Next Year",#N/A,FALSE,"Summary"}</definedName>
    <definedName name="wrn.Index." hidden="1">{#N/A,#N/A,FALSE,"INDEX"}</definedName>
    <definedName name="wrn.invest." hidden="1">{#N/A,#N/A,FALSE,"1Summary";#N/A,#N/A,FALSE,"2Assumptions";#N/A,#N/A,FALSE,"3Cash Flow";#N/A,#N/A,FALSE,"3Cash Flow";#N/A,#N/A,FALSE,"developer";#N/A,#N/A,FALSE,"monthly";#N/A,#N/A,FALSE,"4Residual";#N/A,#N/A,FALSE,"5Residual (Year 20)";#N/A,#N/A,FALSE,"6Pricing Matrix";#N/A,#N/A,FALSE,"7Vacancy Matrix";#N/A,#N/A,FALSE,"8Expiration Schedule";#N/A,#N/A,FALSE,"9Lease-up Schedule";#N/A,#N/A,FALSE,"CNSTRBGT.XLS"}</definedName>
    <definedName name="wrn.Land." hidden="1">{"Land",#N/A,FALSE,"Land"}</definedName>
    <definedName name="wrn.Lease._.Rollover." hidden="1">{#N/A,#N/A,FALSE,"Lease Rollover"}</definedName>
    <definedName name="wrn.Leasing._.Variance." hidden="1">{#N/A,#N/A,FALSE,"Leasing 6A"}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oan._.Pricing._.Analysis." hidden="1">{#N/A,#N/A,FALSE,"LOAN ANALYSIS"}</definedName>
    <definedName name="wrn.LoanInformation." hidden="1">{#N/A,#N/A,FALSE,"LoanAssumptions"}</definedName>
    <definedName name="wrn.LOURES." hidden="1">{"LOURES1",#N/A,TRUE,"Sheet1";"LOURES2",#N/A,TRUE,"Sheet1"}</definedName>
    <definedName name="wrn.Main2." hidden="1">{#N/A,#N/A,FALSE,"Val."}</definedName>
    <definedName name="wrn.Market._.Values." hidden="1">{#N/A,#N/A,TRUE,"10 Yr Hold";#N/A,#N/A,TRUE,"7 Yr Hold";#N/A,#N/A,TRUE,"5 Yr Hold";#N/A,#N/A,TRUE,"3 Yr Hold"}</definedName>
    <definedName name="wrn.MARKETING." hidden="1">{#N/A,#N/A,FALSE,"MARKETING I";#N/A,#N/A,FALSE,"MARKETING II";#N/A,#N/A,FALSE,"MARKETING III"}</definedName>
    <definedName name="wrn.MINRENT." hidden="1">{"MINRENT2",#N/A,FALSE,"SCHEDULE B"}</definedName>
    <definedName name="wrn.model." hidden="1">{"basic",#N/A,FALSE,"BASIC"}</definedName>
    <definedName name="wrn.model._1" hidden="1">{"basic",#N/A,FALSE,"BASIC"}</definedName>
    <definedName name="wrn.monthly._.financial." hidden="1">{#N/A,#N/A,FALSE,"SUMMARY 4a";#N/A,#N/A,FALSE,"GBA 4b";#N/A,#N/A,FALSE,"TENANT 4c";#N/A,#N/A,FALSE,"BUDGET DETAIL";#N/A,#N/A,FALSE,"PRO FORMA"}</definedName>
    <definedName name="wrn.MonthlyRentRoll." hidden="1">{"MonthlyRentRoll",#N/A,FALSE,"RentRoll"}</definedName>
    <definedName name="wrn.Mortgage._.Loan._.Sch." hidden="1">{#N/A,#N/A,FALSE,"Mortgage Loan Sch"}</definedName>
    <definedName name="wrn.MUTUAL._.FUNDS." hidden="1">{"MUTUAL FUNDS TOTAL",#N/A,FALSE,"MUTUAL FUND_LOB"}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ontario." hidden="1">{"page1",#N/A,FALSE,"sheet 1";"Page2",#N/A,FALSE,"sheet 1";"page3",#N/A,FALSE,"sheet 1";"page4",#N/A,FALSE,"sheet 1"}</definedName>
    <definedName name="wrn.OperatingAssumtions." hidden="1">{#N/A,#N/A,FALSE,"OperatingAssumptions"}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ackage.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rtial.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ERCENTAGE._.RENT." hidden="1">{"PERCENTAGE RENT",#N/A,TRUE,"SCHEDULE B"}</definedName>
    <definedName name="wrn.Plan_Charts." hidden="1">{"exhibit1a",#N/A,FALSE,"CHART1A";"EXHIBIT1B",#N/A,FALSE,"CHART1B";"Exhibit2A",#N/A,FALSE,"CHART2A";"Exhibit2b",#N/A,FALSE,"CHART2B";"Exhibit3a",#N/A,FALSE,"CHART3A";"EXHIBIT3B",#N/A,FALSE,"CHART3B";"Exhibit4",#N/A,FALSE,"CHART4";"Exhibit5",#N/A,FALSE,"CHART5";"Exhiit6A",#N/A,FALSE,"CHART6A";"Exhibit6B",#N/A,FALSE,"CHART6B";"Exhibit7",#N/A,FALSE,"CHART7";"Exhibit8",#N/A,FALSE,"CHART8";"Exhibit9A",#N/A,FALSE,"CHART9A";"EXHIBIT9B",#N/A,FALSE,"CHART9B";"Exhibit10",#N/A,FALSE,"CHART10";"Exhibit11",#N/A,FALSE,"CHART11";"Exhibit12",#N/A,FALSE,"CHART12";"Exhibit13",#N/A,FALSE,"CHART13"}</definedName>
    <definedName name="wrn.Portfolio._.Underwriting." hidden="1">{#N/A,#N/A,TRUE,"Summary";#N/A,#N/A,TRUE,"Portfolio Analysis";#N/A,#N/A,TRUE,"Portfolio Return Breakdown";#N/A,#N/A,TRUE,"The Johnston Building";#N/A,#N/A,TRUE,"129 W.Trade";#N/A,#N/A,TRUE,"Midtown Plaza"}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S_OUT." hidden="1">{"page1",#N/A,FALSE,"PRESENTATION";"page2",#N/A,FALSE,"PRESENTATION";#N/A,#N/A,FALSE,"Valuation Summary"}</definedName>
    <definedName name="wrn.Presentation." hidden="1">{#N/A,#N/A,TRUE,"Summary";"AnnualRentRoll",#N/A,TRUE,"RentRoll";#N/A,#N/A,TRUE,"ExitStratigy";#N/A,#N/A,TRUE,"OperatingAssumptions"}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nt." hidden="1">{#N/A,#N/A,FALSE,"Balance sheet";#N/A,#N/A,FALSE,"Income statement";#N/A,#N/A,FALSE,"FFO statement"}</definedName>
    <definedName name="wrn.Print._.All." hidden="1">{#N/A,#N/A,TRUE,"Equity Output";#N/A,#N/A,TRUE,"IPO";#N/A,#N/A,TRUE,"Allocation IPO";#N/A,#N/A,TRUE,"Allocation FD";#N/A,#N/A,TRUE,"BS";#N/A,#N/A,TRUE,"IS";#N/A,#N/A,TRUE,"CF";"CF Summary",#N/A,TRUE,"CF Summary";#N/A,#N/A,TRUE,"Debt Decision";#N/A,#N/A,TRUE,"Debt";#N/A,#N/A,TRUE,"New Debt Amort. (Fixed)";#N/A,#N/A,TRUE,"New Debt Amort. (Floating)";#N/A,#N/A,TRUE,"Acq";#N/A,#N/A,TRUE,"Insider Equity"}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1" hidden="1">{#N/A,#N/A,FALSE,"Model";#N/A,#N/A,FALSE,"Division"}</definedName>
    <definedName name="wrn.print_all." hidden="1">{#N/A,#N/A,FALSE,"property";#N/A,#N/A,FALSE,"tenants";#N/A,#N/A,FALSE,"capital";#N/A,#N/A,FALSE,"summary"}</definedName>
    <definedName name="wrn.Print_Report." hidden="1">{#N/A,#N/A,TRUE,"TOC";#N/A,#N/A,TRUE,"(1) Project Names LEE";#N/A,#N/A,TRUE,"(2) Project Names LWE";#N/A,#N/A,TRUE,"(3) LEE - Cash Proceeds";#N/A,#N/A,TRUE,"(4) LWE - Cash Proceeds ";#N/A,#N/A,TRUE,"(5) LEE - GAAP Gains"}</definedName>
    <definedName name="wrn.Print_Report_2" hidden="1">{#N/A,#N/A,TRUE,"TOC";#N/A,#N/A,TRUE,"(1) Project Names LEE";#N/A,#N/A,TRUE,"(2) Project Names LWE";#N/A,#N/A,TRUE,"(3) LEE - Cash Proceeds";#N/A,#N/A,TRUE,"(4) LWE - Cash Proceeds ";#N/A,#N/A,TRUE,"(5) LEE - GAAP Gains"}</definedName>
    <definedName name="wrn.Print_Report2" hidden="1">{#N/A,#N/A,TRUE,"TOC";#N/A,#N/A,TRUE,"(1) Project Names LEE";#N/A,#N/A,TRUE,"(2) Project Names LWE";#N/A,#N/A,TRUE,"(3) LEE - Cash Proceeds";#N/A,#N/A,TRUE,"(4) LWE - Cash Proceeds ";#N/A,#N/A,TRUE,"(5) LEE - GAAP Gains"}</definedName>
    <definedName name="wrn.Print_Report3" hidden="1">{#N/A,#N/A,TRUE,"TOC";#N/A,#N/A,TRUE,"(1) Project Names LEE";#N/A,#N/A,TRUE,"(2) Project Names LWE";#N/A,#N/A,TRUE,"(3) LEE - Cash Proceeds";#N/A,#N/A,TRUE,"(4) LWE - Cash Proceeds ";#N/A,#N/A,TRUE,"(5) LEE - GAAP Gains"}</definedName>
    <definedName name="wrn.Printall." hidden="1">{#N/A,#N/A,TRUE,"Cover &amp; Contents";#N/A,#N/A,TRUE,"Net Assets &amp; Ops &amp; #Units";#N/A,#N/A,TRUE,"NAV per unit";#N/A,#N/A,TRUE,"Cashflow &amp; RE";#N/A,#N/A,TRUE,"Notes 1-2";#N/A,#N/A,TRUE,"Notes 3-8";#N/A,#N/A,TRUE,"Notes 9-10";#N/A,#N/A,TRUE,"Notes 11-17";#N/A,#N/A,TRUE,"Notes 18-19";#N/A,#N/A,TRUE,"Notes 20-";#N/A,#N/A,TRUE,"Cos 1";#N/A,#N/A,TRUE,"Cos 2";#N/A,#N/A,TRUE,"App I";#N/A,#N/A,TRUE,"App II"}</definedName>
    <definedName name="wrn.PrintReturnsSummary." hidden="1">{"RetSum1",#N/A,FALSE,"Returns Summary";"RetSum2",#N/A,FALSE,"Returns Summary"}</definedName>
    <definedName name="wrn.Proforma.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.Report." hidden="1">{#N/A,#N/A,FALSE,"Summary";#N/A,#N/A,FALSE,"Area Analysis";#N/A,#N/A,FALSE,"Construction Costs";#N/A,#N/A,FALSE,"Construction Notes";#N/A,#N/A,FALSE,"Revenue Analysis";#N/A,#N/A,FALSE,"IRR Analysis";#N/A,#N/A,FALSE,"Value Creation Analysis";#N/A,#N/A,FALSE,"Incremental Revenue Analysis";#N/A,#N/A,FALSE,"New Tenants";#N/A,#N/A,FALSE,"Existing Tenants";#N/A,#N/A,FALSE,"Proforma"}</definedName>
    <definedName name="wrn.Project._.Summaries.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wrn.Projections." hidden="1">{#N/A,#N/A,FALSE,"Release Price";#N/A,#N/A,FALSE,"Cash flow for 50 Unit";#N/A,#N/A,FALSE,"Cash Flow for 3 Models"}</definedName>
    <definedName name="wrn.Property._.Description." hidden="1">{#N/A,#N/A,FALSE,"PROP. DESCRIPTION"}</definedName>
    <definedName name="wrn.PropertyInformation." hidden="1">{#N/A,#N/A,FALSE,"PropertyInfo"}</definedName>
    <definedName name="wrn.PSell_Out." hidden="1">{"PSell_Out",#N/A,FALSE,"PSell_Out"}</definedName>
    <definedName name="wrn.Pulp." hidden="1">{"Pulp Production",#N/A,FALSE,"Pulp";"Pulp Earnings",#N/A,FALSE,"Pulp"}</definedName>
    <definedName name="wrn.Quarterly._.RBC." hidden="1">{#N/A,#N/A,FALSE,"TIAA Data";#N/A,#N/A,FALSE,"TC Life Data";#N/A,#N/A,FALSE,"TIAA RBC";#N/A,#N/A,FALSE,"TC Life RBC";#N/A,#N/A,FALSE,"NAR Worksheet";#N/A,#N/A,FALSE,"Reserves"}</definedName>
    <definedName name="wrn.Quick._.Print." hidden="1">{"Pro Forma",#N/A,FALSE,"Prof";"Statistics",#N/A,FALSE,"Stats";"Incentive Fee Calc",#N/A,FALSE,"Incent"}</definedName>
    <definedName name="wrn.Quick._.View." hidden="1">{"Pro Forma",#N/A,FALSE,"Prof";"Statistics",#N/A,FALSE,"Stats";"Incentive Fee Calc",#N/A,FALSE,"Incent"}</definedName>
    <definedName name="wrn.Raffr.." hidden="1">{"Raffr.",#N/A,FALSE,"Val."}</definedName>
    <definedName name="wrn.RATES." hidden="1">{"RATES",#N/A,FALSE,"RECOVERY RATES";"CONTRIBUTIONS",#N/A,FALSE,"RECOVERY RATES";"GLA CATEGORY SUMMARY",#N/A,FALSE,"RECOVERY RATES"}</definedName>
    <definedName name="wrn.Recovery._.Calcs." hidden="1">{#N/A,#N/A,FALSE,"Recovery Calcs"}</definedName>
    <definedName name="wrn.Rénovation." hidden="1">{"Rénovation",#N/A,FALSE,"Val."}</definedName>
    <definedName name="wrn.Rent._.Roll." hidden="1">{#N/A,#N/A,FALSE,"Rent Roll"}</definedName>
    <definedName name="wrn.Report.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.on._.Capital._.and._.Capital._.Ratios." hidden="1">{#N/A,#N/A,FALSE,"Cover Sheet";#N/A,#N/A,FALSE,"TIAA";#N/A,#N/A,FALSE,"TC LIFE";#N/A,#N/A,FALSE,"TPIS";#N/A,#N/A,FALSE,"ADVISORS";#N/A,#N/A,FALSE,"SERVICES";#N/A,#N/A,FALSE,"IM";#N/A,#N/A,FALSE,"TFI";#N/A,#N/A,FALSE,"TRUST"}</definedName>
    <definedName name="wrn.reporting." hidden="1">{#N/A,#N/A,TRUE,"BS";#N/A,#N/A,TRUE,"P&amp;L";#N/A,#N/A,TRUE,"An-P&amp;L";#N/A,#N/A,TRUE,"Expenses";#N/A,#N/A,TRUE,"An-Expenses";#N/A,#N/A,TRUE,"PROJECT";#N/A,#N/A,TRUE,"F.A.E";#N/A,#N/A,TRUE,"PCA";#N/A,#N/A,TRUE,"FNP ";#N/A,#N/A,TRUE,"CCA ";#N/A,#N/A,TRUE,"RECEI";#N/A,#N/A,TRUE,"CHQ REC";#N/A,#N/A,TRUE,"LIV TIERS";#N/A,#N/A,TRUE,"BANQ"}</definedName>
    <definedName name="wrn.Retail." hidden="1">{"Retail",#N/A,FALSE,"Retail"}</definedName>
    <definedName name="wrn.sales." hidden="1">{"sales",#N/A,FALSE,"Sales";"sales existing",#N/A,FALSE,"Sales";"sales rd1",#N/A,FALSE,"Sales";"sales rd2",#N/A,FALSE,"Sales"}</definedName>
    <definedName name="wrn.sales._1" hidden="1">{"sales",#N/A,FALSE,"Sales";"sales existing",#N/A,FALSE,"Sales";"sales rd1",#N/A,FALSE,"Sales";"sales rd2",#N/A,FALSE,"Sales"}</definedName>
    <definedName name="wrn.SCHAs." hidden="1">{"ACCOUNTING COPY",#N/A,FALSE,"SCHEDULE A";"FINANCE COPY",#N/A,FALSE,"SCHEDULE A";"P.L. COPY",#N/A,FALSE,"SCHEDULE A"}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hidden="1">{#N/A,#N/A,FALSE,"SCHEDULE A";"MINIMUM RENT",#N/A,FALSE,"SCHEDULES B &amp; C";"PERCENTAGE RENT",#N/A,FALSE,"SCHEDULES B &amp; C"}</definedName>
    <definedName name="wrn.ServiceV2.1." hidden="1">{#N/A,#N/A,FALSE,"SC1";#N/A,#N/A,FALSE,"SC5";#N/A,#N/A,FALSE,"SC10";#N/A,#N/A,FALSE,"SC11";#N/A,#N/A,FALSE,"SC12";#N/A,#N/A,FALSE,"SC13";#N/A,#N/A,FALSE,"SC14";#N/A,#N/A,FALSE,"SC15";#N/A,#N/A,FALSE,"SC21";#N/A,#N/A,FALSE,"SC90";#N/A,#N/A,FALSE,"Oscar";#N/A,#N/A,FALSE,"Checklist"}</definedName>
    <definedName name="wrn.Side._.by._.Side." hidden="1">{"Side 99",#N/A,FALSE,"S&amp;U Side by Side"}</definedName>
    <definedName name="wrn.solldruck." hidden="1">{"solldruck1",#N/A,TRUE,"SOLLIST"}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ef." hidden="1">{#N/A,#N/A,FALSE,"Amort";#N/A,#N/A,FALSE,"Eng h. bilan"}</definedName>
    <definedName name="wrn.Strengths._.Weaknesses." hidden="1">{#N/A,#N/A,FALSE,"Strengths &amp; Weaknesses"}</definedName>
    <definedName name="wrn.Summary." hidden="1">{#N/A,#N/A,FALSE,"Summary"}</definedName>
    <definedName name="wrn.Summary._.Schedule." hidden="1">{#N/A,#N/A,FALSE,"Smry1";#N/A,#N/A,FALSE,"Smry2";#N/A,#N/A,FALSE,"Finance Cash Flow"}</definedName>
    <definedName name="wrn.summary._1" hidden="1">{"financials",#N/A,FALSE,"BASIC"}</definedName>
    <definedName name="wrn.Taxes._.Title._.Insurance." hidden="1">{#N/A,#N/A,FALSE,"Taxes, Insurance, Title"}</definedName>
    <definedName name="wrn.temp." hidden="1">{"CHART3B",#N/A,FALSE,"CHART12"}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ST." hidden="1">{#N/A,#N/A,FALSE,"SCHEDULE G"}</definedName>
    <definedName name="wrn.THIRD_QUARTER_BOARD." hidden="1">{"Q3_BOARD_CHART1",#N/A,FALSE,"Board_Chart1"}</definedName>
    <definedName name="wrn.THR._.Budget." hidden="1">{"7-Year Pro Forma",#N/A,FALSE,"Prof";"Statistics",#N/A,FALSE,"Stats"}</definedName>
    <definedName name="wrn.TIAA._.and._.TC._.Life._.RBC._.Calculations." hidden="1">{#N/A,#N/A,FALSE,"TIAA Data";#N/A,#N/A,FALSE,"TC Life Data";#N/A,#N/A,FALSE,"TIAA RBC";#N/A,#N/A,FALSE,"TC Life RBC";#N/A,#N/A,FALSE,"NAR Worksheet";#N/A,#N/A,FALSE,"Reserves";#N/A,#N/A,FALSE,"OIA Worksheet";#N/A,#N/A,FALSE,"BS6 Ind Adjust";#N/A,#N/A,FALSE,"BS6 Grp Adjust"}</definedName>
    <definedName name="wrn.TIAA._.DATA." hidden="1">{#N/A,#N/A,FALSE,"TIAA Data"}</definedName>
    <definedName name="wrn.TOTAL._.PACKAGE." hidden="1">{"CHART1A",#N/A,FALSE,"CHART1A";"CHART1B",#N/A,FALSE,"CHART1A";"CHART2A",#N/A,FALSE,"CHART1A";"CHART2B",#N/A,FALSE,"CHART1A";"CHART3A",#N/A,FALSE,"CHART1A";"CHART3B",#N/A,FALSE,"CHART1A";"CHART4",#N/A,FALSE,"CHART1A";"CHART5",#N/A,FALSE,"CHART1A";"CHART6",#N/A,FALSE,"CHART1A";"CHART7",#N/A,FALSE,"CHART1A";"CHART8",#N/A,FALSE,"CHART1A";"CHART9",#N/A,FALSE,"CHART1A";"CHART10A",#N/A,FALSE,"CHART1A";"CHART10B",#N/A,FALSE,"CHART1A";"CHART11A",#N/A,FALSE,"CHART1A";"CHART11B",#N/A,FALSE,"CHART1A";"CHART12",#N/A,FALSE,"CHART1A";"CHART13",#N/A,FALSE,"CHART1A";"CHART16",#N/A,FALSE,"CHART1A"}</definedName>
    <definedName name="wrn.Total._.Reinsurance._.Items." hidden="1">{#N/A,#N/A,FALSE,"Reinsurance"}</definedName>
    <definedName name="wrn.toto." hidden="1">{"tableau a",#N/A,FALSE,"Feuil3";"tableau b",#N/A,FALSE,"Feuil3"}</definedName>
    <definedName name="wrn.toto.2" hidden="1">{"tableau a",#N/A,FALSE,"Feuil3";"tableau b",#N/A,FALSE,"Feuil3"}</definedName>
    <definedName name="wrn.Underwriting._.Analysis." hidden="1">{#N/A,#N/A,FALSE,"Underwriting Analysis"}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orking._.Party._.List." hidden="1">{#N/A,#N/A,FALSE,"Working List"}</definedName>
    <definedName name="wrn.Yield." hidden="1">{"Yield",#N/A,FALSE,"Yield"}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LL." hidden="1">{TRUE,TRUE,-1.25,-15.5,484.5,276.75,FALSE,FALSE,TRUE,TRUE,0,1,#N/A,1,#N/A,7.71428571428571,15.9411764705882,1,FALSE,FALSE,3,TRUE,1,FALSE,100,"Swvu.ALL.","ACwvu.ALL.",#N/A,FALSE,FALSE,0.37,0.4,1,0.37,2,"&amp;L&amp;""Arial,Bold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&amp;T",FALSE,FALSE,FALSE,FALSE,1,#N/A,1,#N/A,"=R3C1:R44C22","=R1:R2",#N/A,#N/A,FALSE,FALSE,FALSE,1,65532,65532,FALSE,FALSE,TRUE,TRUE,TRUE}</definedName>
    <definedName name="wvu.CAM._.RATES." hidden="1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ECOVERY." hidden="1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SMEET." hidden="1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MARKETING._.REVENUE." hidden="1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INIMUM._.RENT." hidden="1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OCCUPANCY." hidden="1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PERCENTAGE._.RENT." hidden="1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AX._.RATES." hidden="1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ECOVERY." hidden="1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x" hidden="1">{"FCB_ALL",#N/A,FALSE,"FCB";"GREY_ALL",#N/A,FALSE,"GREY"}</definedName>
    <definedName name="xasdqdiuqhw" hidden="1">{"Pulp Production",#N/A,FALSE,"Pulp";"Pulp Earnings",#N/A,FALSE,"Pulp"}</definedName>
    <definedName name="xRng_5ce2280b053142948af411bb89f1ea07">#REF!</definedName>
    <definedName name="xRng_b675c2f8c51641cfbb42728a0c47256d">#REF!</definedName>
    <definedName name="xRng_c0ee54b0eb73489ab078c91a75203d2c">#REF!</definedName>
    <definedName name="XX" hidden="1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hidden="1">{"financials",#N/A,FALSE,"BASIC";"interest",#N/A,FALSE,"BASIC";"leasing and financing",#N/A,FALSE,"BASIC";"returns back up",#N/A,FALSE,"BASIC"}</definedName>
    <definedName name="xxx3" hidden="1">{"AnnualRentRoll",#N/A,FALSE,"RentRoll"}</definedName>
    <definedName name="xxx4" hidden="1">{#N/A,#N/A,FALSE,"ExitStratigy"}</definedName>
    <definedName name="xxxxxx" hidden="1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  <definedName name="xyz" hidden="1">{#N/A,#N/A,FALSE,"Balance sheet";#N/A,#N/A,FALSE,"Income statement";#N/A,#N/A,FALSE,"FFO statement"}</definedName>
    <definedName name="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ield_adopted">#REF!</definedName>
    <definedName name="yta">#REF!</definedName>
    <definedName name="z" hidden="1">{"CREF TOTAL",#N/A,FALSE,"ALOB_BOOK";"TIAA TOTAL",#N/A,FALSE,"ALOB_BOOK";"TIAA PENSION",#N/A,FALSE,"ALOB_BOOK";"GENERAL ACCOUNT PENSION",#N/A,FALSE,"ALOB_BOOK";"REAL ESTATE PENSION",#N/A,FALSE,"ALOB_BOOK";"TIAA NON-PENSION",#N/A,FALSE,"ALOB_BOOK";"INDIVIDUAL LIFE",#N/A,FALSE,"ALOB_BOOK";"GROUP LIFE",#N/A,FALSE,"ALOB_BOOK";"GROUP LTD",#N/A,FALSE,"ALOB_BOOK";"LTC",#N/A,FALSE,"ALOB_BOOK";"TPA TOTAL",#N/A,FALSE,"ALOB_BOOK";"TPA (FIXED)",#N/A,FALSE,"ALOB_BOOK";"TPA (VARIABLE)",#N/A,FALSE,"ALOB_BOOK";"NP AND SC",#N/A,FALSE,"ALOB_BOOK";"PROCEEDS PLUS",#N/A,FALSE,"ALOB_BOOK";"MUTUAL FUNDS TOTAL",#N/A,FALSE,"MUTUAL FUND_LOB"}</definedName>
    <definedName name="Z_0E5612F1_1C5C_4147_BE42_908BDE0B1405_.wvu.FilterData" hidden="1">#REF!</definedName>
    <definedName name="Z_0E5612F1_1C5C_4147_BE42_908BDE0B1405_.wvu.PrintTitles" hidden="1">#REF!</definedName>
    <definedName name="Z_28BDDCCC_2551_11D1_BD8E_0020AF42250B_.wvu.Cols" hidden="1">#REF!,#REF!,#REF!</definedName>
    <definedName name="Z_28BDDCCD_2551_11D1_BD8E_0020AF42250B_.wvu.Cols" hidden="1">#REF!,#REF!,#REF!</definedName>
    <definedName name="Z_28BDDCCF_2551_11D1_BD8E_0020AF42250B_.wvu.Cols" hidden="1">#REF!,#REF!,#REF!,#REF!</definedName>
    <definedName name="Z_28BDDCD0_2551_11D1_BD8E_0020AF42250B_.wvu.Cols" hidden="1">#REF!,#REF!,#REF!</definedName>
    <definedName name="Z_28BDDCD1_2551_11D1_BD8E_0020AF42250B_.wvu.Cols" hidden="1">#REF!,#REF!</definedName>
    <definedName name="Z_28BDDCD2_2551_11D1_BD8E_0020AF42250B_.wvu.Cols" hidden="1">#REF!,#REF!,#REF!</definedName>
    <definedName name="Z_28BDDCD3_2551_11D1_BD8E_0020AF42250B_.wvu.Cols" hidden="1">#REF!,#REF!,#REF!,#REF!</definedName>
    <definedName name="Z_28BDDCD8_2551_11D1_BD8E_0020AF42250B_.wvu.Cols" hidden="1">#REF!,#REF!,#REF!</definedName>
    <definedName name="Z_28BDDCD9_2551_11D1_BD8E_0020AF42250B_.wvu.Cols" hidden="1">#REF!,#REF!,#REF!</definedName>
    <definedName name="Z_38B66622_465C_11D1_8554_0080C7F00AC6_.wvu.Cols" hidden="1">#REF!,#REF!,#REF!</definedName>
    <definedName name="Z_38B66623_465C_11D1_8554_0080C7F00AC6_.wvu.Cols" hidden="1">#REF!,#REF!,#REF!</definedName>
    <definedName name="Z_38B66625_465C_11D1_8554_0080C7F00AC6_.wvu.Cols" hidden="1">#REF!,#REF!,#REF!,#REF!</definedName>
    <definedName name="Z_38B66626_465C_11D1_8554_0080C7F00AC6_.wvu.Cols" hidden="1">#REF!,#REF!,#REF!</definedName>
    <definedName name="Z_38B66627_465C_11D1_8554_0080C7F00AC6_.wvu.Cols" hidden="1">#REF!,#REF!</definedName>
    <definedName name="Z_38B66628_465C_11D1_8554_0080C7F00AC6_.wvu.Cols" hidden="1">#REF!,#REF!,#REF!</definedName>
    <definedName name="Z_38B66629_465C_11D1_8554_0080C7F00AC6_.wvu.Cols" hidden="1">#REF!,#REF!,#REF!,#REF!</definedName>
    <definedName name="Z_38B6662E_465C_11D1_8554_0080C7F00AC6_.wvu.Cols" hidden="1">#REF!,#REF!,#REF!</definedName>
    <definedName name="Z_38B6662F_465C_11D1_8554_0080C7F00AC6_.wvu.Cols" hidden="1">#REF!,#REF!,#REF!</definedName>
    <definedName name="Z_3FFCEA43_F8AA_11D0_BD29_0020AF42250B_.wvu.Cols" hidden="1">#REF!,#REF!,#REF!</definedName>
    <definedName name="Z_3FFCEA43_F8AA_11D0_BD29_0020AF42250B_.wvu.PrintArea" hidden="1">#REF!</definedName>
    <definedName name="Z_3FFCEA43_F8AA_11D0_BD29_0020AF42250B_.wvu.PrintTitles" hidden="1">#REF!</definedName>
    <definedName name="Z_40D1A02B_1594_11D1_BD73_0020AF42250B_.wvu.Cols" hidden="1">#REF!,#REF!,#REF!</definedName>
    <definedName name="Z_40D1A02C_1594_11D1_BD73_0020AF42250B_.wvu.Cols" hidden="1">#REF!,#REF!,#REF!</definedName>
    <definedName name="Z_40D1A02D_1594_11D1_BD73_0020AF42250B_.wvu.Cols" hidden="1">#REF!,#REF!,#REF!,#REF!</definedName>
    <definedName name="Z_40D1A02E_1594_11D1_BD73_0020AF42250B_.wvu.Cols" hidden="1">#REF!,#REF!,#REF!</definedName>
    <definedName name="Z_40D1A02F_1594_11D1_BD73_0020AF42250B_.wvu.Cols" hidden="1">#REF!,#REF!</definedName>
    <definedName name="Z_40D1A030_1594_11D1_BD73_0020AF42250B_.wvu.Cols" hidden="1">#REF!,#REF!,#REF!</definedName>
    <definedName name="Z_40D1A031_1594_11D1_BD73_0020AF42250B_.wvu.Cols" hidden="1">#REF!,#REF!,#REF!,#REF!</definedName>
    <definedName name="Z_40D1A032_1594_11D1_BD73_0020AF42250B_.wvu.Cols" hidden="1">#REF!,#REF!,#REF!</definedName>
    <definedName name="Z_40D1A033_1594_11D1_BD73_0020AF42250B_.wvu.Cols" hidden="1">#REF!,#REF!,#REF!</definedName>
    <definedName name="Z_40D1A104_1594_11D1_BD73_0020AF42250B_.wvu.Cols" hidden="1">#REF!,#REF!,#REF!</definedName>
    <definedName name="Z_40D1A105_1594_11D1_BD73_0020AF42250B_.wvu.Cols" hidden="1">#REF!,#REF!,#REF!</definedName>
    <definedName name="Z_40D1A107_1594_11D1_BD73_0020AF42250B_.wvu.Cols" hidden="1">#REF!,#REF!,#REF!,#REF!</definedName>
    <definedName name="Z_40D1A109_1594_11D1_BD73_0020AF42250B_.wvu.Cols" hidden="1">#REF!,#REF!,#REF!</definedName>
    <definedName name="Z_40D1A10B_1594_11D1_BD73_0020AF42250B_.wvu.Cols" hidden="1">#REF!,#REF!</definedName>
    <definedName name="Z_40D1A10C_1594_11D1_BD73_0020AF42250B_.wvu.Cols" hidden="1">#REF!,#REF!,#REF!</definedName>
    <definedName name="Z_40D1A10F_1594_11D1_BD73_0020AF42250B_.wvu.Cols" hidden="1">#REF!,#REF!,#REF!,#REF!</definedName>
    <definedName name="Z_40D1A114_1594_11D1_BD73_0020AF42250B_.wvu.Cols" hidden="1">#REF!,#REF!,#REF!</definedName>
    <definedName name="Z_40D1A115_1594_11D1_BD73_0020AF42250B_.wvu.Cols" hidden="1">#REF!,#REF!,#REF!</definedName>
    <definedName name="Z_49179D1A_043D_11D1_BD55_0020AF42250B_.wvu.Cols" hidden="1">#REF!,#REF!</definedName>
    <definedName name="Z_49179D1A_043D_11D1_BD55_0020AF42250B_.wvu.PrintArea" hidden="1">#REF!</definedName>
    <definedName name="Z_49179D1A_043D_11D1_BD55_0020AF42250B_.wvu.PrintTitles" hidden="1">#REF!</definedName>
    <definedName name="Z_49179D1D_043D_11D1_BD55_0020AF42250B_.wvu.Cols" hidden="1">#REF!,#REF!,#REF!</definedName>
    <definedName name="Z_49179D1D_043D_11D1_BD55_0020AF42250B_.wvu.PrintArea" hidden="1">#REF!</definedName>
    <definedName name="Z_49179D1D_043D_11D1_BD55_0020AF42250B_.wvu.PrintTitles" hidden="1">#REF!</definedName>
    <definedName name="Z_6188BF32_9D6B_402D_B864_7A1178662966_.wvu.Cols" hidden="1">#REF!</definedName>
    <definedName name="Z_627E98CA_893D_11D2_9EFC_00C04FE0572F_.wvu.PrintArea" hidden="1">#REF!</definedName>
    <definedName name="Z_627E98CB_893D_11D2_9EFC_00C04FE0572F_.wvu.Cols" hidden="1">#REF!,#REF!,#REF!</definedName>
    <definedName name="Z_627E98CB_893D_11D2_9EFC_00C04FE0572F_.wvu.PrintArea" hidden="1">#REF!</definedName>
    <definedName name="Z_627E98CB_893D_11D2_9EFC_00C04FE0572F_.wvu.PrintTitles" hidden="1">#REF!</definedName>
    <definedName name="Z_6DFA7DCF_3C08_11D1_BDBE_0020AF42250B_.wvu.PrintArea" hidden="1">#REF!</definedName>
    <definedName name="Z_6DFA7DCF_3C08_11D1_BDBE_0020AF42250B_.wvu.PrintTitles" hidden="1">#REF!</definedName>
    <definedName name="Z_6DFA7DD9_3C08_11D1_BDBE_0020AF42250B_.wvu.Cols" hidden="1">#REF!,#REF!,#REF!</definedName>
    <definedName name="Z_6DFA7DD9_3C08_11D1_BDBE_0020AF42250B_.wvu.PrintArea" hidden="1">#REF!</definedName>
    <definedName name="Z_6DFA7DD9_3C08_11D1_BDBE_0020AF42250B_.wvu.PrintTitles" hidden="1">#REF!</definedName>
    <definedName name="Z_6DFA7DDA_3C08_11D1_BDBE_0020AF42250B_.wvu.Cols" hidden="1">#REF!,#REF!,#REF!</definedName>
    <definedName name="Z_6DFA7DDA_3C08_11D1_BDBE_0020AF42250B_.wvu.PrintArea" hidden="1">#REF!</definedName>
    <definedName name="Z_6DFA7DDA_3C08_11D1_BDBE_0020AF42250B_.wvu.PrintTitles" hidden="1">#REF!</definedName>
    <definedName name="Z_6DFA7DDC_3C08_11D1_BDBE_0020AF42250B_.wvu.Cols" hidden="1">#REF!,#REF!,#REF!,#REF!</definedName>
    <definedName name="Z_6DFA7DDC_3C08_11D1_BDBE_0020AF42250B_.wvu.PrintArea" hidden="1">#REF!</definedName>
    <definedName name="Z_6DFA7DDC_3C08_11D1_BDBE_0020AF42250B_.wvu.PrintTitles" hidden="1">#REF!</definedName>
    <definedName name="Z_6DFA7DDD_3C08_11D1_BDBE_0020AF42250B_.wvu.Cols" hidden="1">#REF!,#REF!,#REF!</definedName>
    <definedName name="Z_6DFA7DDD_3C08_11D1_BDBE_0020AF42250B_.wvu.PrintArea" hidden="1">#REF!</definedName>
    <definedName name="Z_6DFA7DDD_3C08_11D1_BDBE_0020AF42250B_.wvu.PrintTitles" hidden="1">#REF!</definedName>
    <definedName name="Z_6DFA7DDE_3C08_11D1_BDBE_0020AF42250B_.wvu.Cols" hidden="1">#REF!,#REF!</definedName>
    <definedName name="Z_6DFA7DDE_3C08_11D1_BDBE_0020AF42250B_.wvu.PrintArea" hidden="1">#REF!</definedName>
    <definedName name="Z_6DFA7DDE_3C08_11D1_BDBE_0020AF42250B_.wvu.PrintTitles" hidden="1">#REF!</definedName>
    <definedName name="Z_6DFA7DDF_3C08_11D1_BDBE_0020AF42250B_.wvu.Cols" hidden="1">#REF!,#REF!,#REF!</definedName>
    <definedName name="Z_6DFA7DDF_3C08_11D1_BDBE_0020AF42250B_.wvu.PrintArea" hidden="1">#REF!</definedName>
    <definedName name="Z_6DFA7DDF_3C08_11D1_BDBE_0020AF42250B_.wvu.PrintTitles" hidden="1">#REF!</definedName>
    <definedName name="Z_6DFA7DE0_3C08_11D1_BDBE_0020AF42250B_.wvu.Cols" hidden="1">#REF!,#REF!,#REF!,#REF!</definedName>
    <definedName name="Z_6DFA7DE0_3C08_11D1_BDBE_0020AF42250B_.wvu.PrintArea" hidden="1">#REF!</definedName>
    <definedName name="Z_6DFA7DE0_3C08_11D1_BDBE_0020AF42250B_.wvu.PrintTitles" hidden="1">#REF!</definedName>
    <definedName name="Z_6DFA7DE5_3C08_11D1_BDBE_0020AF42250B_.wvu.Cols" hidden="1">#REF!,#REF!,#REF!</definedName>
    <definedName name="Z_6DFA7DE5_3C08_11D1_BDBE_0020AF42250B_.wvu.PrintArea" hidden="1">#REF!</definedName>
    <definedName name="Z_6DFA7DE5_3C08_11D1_BDBE_0020AF42250B_.wvu.PrintTitles" hidden="1">#REF!</definedName>
    <definedName name="Z_6DFA7DE6_3C08_11D1_BDBE_0020AF42250B_.wvu.Cols" hidden="1">#REF!,#REF!,#REF!</definedName>
    <definedName name="Z_6DFA7DE6_3C08_11D1_BDBE_0020AF42250B_.wvu.PrintArea" hidden="1">#REF!</definedName>
    <definedName name="Z_6DFA7DE6_3C08_11D1_BDBE_0020AF42250B_.wvu.PrintTitles" hidden="1">#REF!</definedName>
    <definedName name="Z_6ECC8A59_F873_11D0_BD29_0020AF42250B_.wvu.Cols" hidden="1">#REF!,#REF!,#REF!</definedName>
    <definedName name="Z_6ECC8A5A_F873_11D0_BD29_0020AF42250B_.wvu.Cols" hidden="1">#REF!,#REF!,#REF!</definedName>
    <definedName name="Z_6ECC8A5C_F873_11D0_BD29_0020AF42250B_.wvu.Cols" hidden="1">#REF!,#REF!,#REF!,#REF!</definedName>
    <definedName name="Z_6ECC8A5D_F873_11D0_BD29_0020AF42250B_.wvu.Cols" hidden="1">#REF!,#REF!,#REF!</definedName>
    <definedName name="Z_6ECC8A5E_F873_11D0_BD29_0020AF42250B_.wvu.Cols" hidden="1">#REF!,#REF!</definedName>
    <definedName name="Z_6ECC8A5F_F873_11D0_BD29_0020AF42250B_.wvu.Cols" hidden="1">#REF!,#REF!,#REF!</definedName>
    <definedName name="Z_6ECC8A60_F873_11D0_BD29_0020AF42250B_.wvu.Cols" hidden="1">#REF!,#REF!,#REF!,#REF!,#REF!,#REF!,#REF!</definedName>
    <definedName name="Z_6ECC8A65_F873_11D0_BD29_0020AF42250B_.wvu.Cols" hidden="1">#REF!,#REF!,#REF!</definedName>
    <definedName name="Z_6ECC8A66_F873_11D0_BD29_0020AF42250B_.wvu.Cols" hidden="1">#REF!,#REF!,#REF!</definedName>
    <definedName name="Z_6ECC8A90_F873_11D0_BD29_0020AF42250B_.wvu.PrintTitles" hidden="1">#REF!</definedName>
    <definedName name="Z_6ECC8A95_F873_11D0_BD29_0020AF42250B_.wvu.Cols" hidden="1">#REF!,#REF!,#REF!</definedName>
    <definedName name="Z_6ECC8A95_F873_11D0_BD29_0020AF42250B_.wvu.PrintArea" hidden="1">#REF!</definedName>
    <definedName name="Z_6ECC8A95_F873_11D0_BD29_0020AF42250B_.wvu.PrintTitles" hidden="1">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911FCEE4_2CBF_4A90_9E55_ED72CBEECF9A_.wvu.FilterData" hidden="1">#REF!</definedName>
    <definedName name="Z_995DB91B_DC87_11D2_BCA9_00C04F8BBE86_.wvu.PrintArea" hidden="1">#REF!</definedName>
    <definedName name="Z_995DB91E_DC87_11D2_BCA9_00C04F8BBE86_.wvu.Cols" hidden="1">#REF!</definedName>
    <definedName name="Z_995DB91E_DC87_11D2_BCA9_00C04F8BBE86_.wvu.PrintArea" hidden="1">#REF!</definedName>
    <definedName name="Z_995DB91E_DC87_11D2_BCA9_00C04F8BBE86_.wvu.Rows" hidden="1">#REF!</definedName>
    <definedName name="Z_995DB91F_DC87_11D2_BCA9_00C04F8BBE86_.wvu.Cols" hidden="1">#REF!,#REF!,#REF!</definedName>
    <definedName name="Z_995DB91F_DC87_11D2_BCA9_00C04F8BBE86_.wvu.PrintArea" hidden="1">#REF!</definedName>
    <definedName name="Z_995DB91F_DC87_11D2_BCA9_00C04F8BBE86_.wvu.Rows" hidden="1">#REF!,#REF!</definedName>
    <definedName name="Z_9A8750D3_468A_11D3_8ECF_00C04F9226C7_.wvu.Cols" hidden="1">#REF!,#REF!,#REF!</definedName>
    <definedName name="Z_9A8750D3_468A_11D3_8ECF_00C04F9226C7_.wvu.PrintArea" hidden="1">#REF!</definedName>
    <definedName name="Z_9A8750D3_468A_11D3_8ECF_00C04F9226C7_.wvu.Rows" hidden="1">#REF!</definedName>
    <definedName name="Z_A73E33D1_2630_11D1_BD91_0020AF42250B_.wvu.Cols" hidden="1">#REF!,#REF!,#REF!</definedName>
    <definedName name="Z_A73E33D2_2630_11D1_BD91_0020AF42250B_.wvu.Cols" hidden="1">#REF!,#REF!,#REF!</definedName>
    <definedName name="Z_A73E33D4_2630_11D1_BD91_0020AF42250B_.wvu.Cols" hidden="1">#REF!,#REF!,#REF!,#REF!</definedName>
    <definedName name="Z_A73E33D5_2630_11D1_BD91_0020AF42250B_.wvu.Cols" hidden="1">#REF!,#REF!,#REF!</definedName>
    <definedName name="Z_A73E33D6_2630_11D1_BD91_0020AF42250B_.wvu.Cols" hidden="1">#REF!,#REF!</definedName>
    <definedName name="Z_A73E33D7_2630_11D1_BD91_0020AF42250B_.wvu.Cols" hidden="1">#REF!,#REF!,#REF!</definedName>
    <definedName name="Z_A73E33D8_2630_11D1_BD91_0020AF42250B_.wvu.Cols" hidden="1">#REF!,#REF!,#REF!,#REF!</definedName>
    <definedName name="Z_A73E33DD_2630_11D1_BD91_0020AF42250B_.wvu.Cols" hidden="1">#REF!,#REF!,#REF!</definedName>
    <definedName name="Z_A73E33DE_2630_11D1_BD91_0020AF42250B_.wvu.Cols" hidden="1">#REF!,#REF!,#REF!</definedName>
    <definedName name="Z_B47DD997_1976_11D1_BD7C_0020AF42250B_.wvu.Cols" hidden="1">#REF!,#REF!,#REF!</definedName>
    <definedName name="Z_B47DD998_1976_11D1_BD7C_0020AF42250B_.wvu.Cols" hidden="1">#REF!,#REF!,#REF!</definedName>
    <definedName name="Z_B47DD99A_1976_11D1_BD7C_0020AF42250B_.wvu.Cols" hidden="1">#REF!,#REF!,#REF!,#REF!</definedName>
    <definedName name="Z_B47DD99B_1976_11D1_BD7C_0020AF42250B_.wvu.Cols" hidden="1">#REF!,#REF!,#REF!</definedName>
    <definedName name="Z_B47DD99C_1976_11D1_BD7C_0020AF42250B_.wvu.Cols" hidden="1">#REF!,#REF!</definedName>
    <definedName name="Z_B47DD99D_1976_11D1_BD7C_0020AF42250B_.wvu.Cols" hidden="1">#REF!,#REF!,#REF!</definedName>
    <definedName name="Z_B47DD99E_1976_11D1_BD7C_0020AF42250B_.wvu.Cols" hidden="1">#REF!,#REF!,#REF!,#REF!</definedName>
    <definedName name="Z_B47DD9A3_1976_11D1_BD7C_0020AF42250B_.wvu.Cols" hidden="1">#REF!,#REF!,#REF!</definedName>
    <definedName name="Z_B47DD9A4_1976_11D1_BD7C_0020AF42250B_.wvu.Cols" hidden="1">#REF!,#REF!,#REF!</definedName>
    <definedName name="Z_B6AE087C_DC06_11D2_BCA9_00C04F8BBE86_.wvu.Cols" hidden="1">#REF!,#REF!,#REF!,#REF!,#REF!</definedName>
    <definedName name="Z_B6AE087C_DC06_11D2_BCA9_00C04F8BBE86_.wvu.PrintArea" hidden="1">#REF!</definedName>
    <definedName name="Z_B6AE087C_DC06_11D2_BCA9_00C04F8BBE86_.wvu.Rows" hidden="1">#REF!,#REF!</definedName>
    <definedName name="Z_C4987C22_A4BC_4088_8093_02A2E532FBED_.wvu.FilterData" hidden="1">#REF!</definedName>
    <definedName name="Z_C4987C22_A4BC_4088_8093_02A2E532FBED_.wvu.PrintTitles" hidden="1">#REF!</definedName>
    <definedName name="Z_F2D042EF_2606_11D1_BD91_0020AF42250B_.wvu.Cols" hidden="1">#REF!,#REF!,#REF!</definedName>
    <definedName name="Z_F2D042F0_2606_11D1_BD91_0020AF42250B_.wvu.Cols" hidden="1">#REF!,#REF!,#REF!</definedName>
    <definedName name="Z_F2D042F2_2606_11D1_BD91_0020AF42250B_.wvu.Cols" hidden="1">#REF!,#REF!,#REF!,#REF!</definedName>
    <definedName name="Z_F2D042F3_2606_11D1_BD91_0020AF42250B_.wvu.Cols" hidden="1">#REF!,#REF!,#REF!</definedName>
    <definedName name="Z_F2D042F4_2606_11D1_BD91_0020AF42250B_.wvu.Cols" hidden="1">#REF!,#REF!</definedName>
    <definedName name="Z_F2D042F5_2606_11D1_BD91_0020AF42250B_.wvu.Cols" hidden="1">#REF!,#REF!,#REF!</definedName>
    <definedName name="Z_F2D042F6_2606_11D1_BD91_0020AF42250B_.wvu.Cols" hidden="1">#REF!,#REF!,#REF!,#REF!</definedName>
    <definedName name="Z_F2D042FB_2606_11D1_BD91_0020AF42250B_.wvu.Cols" hidden="1">#REF!,#REF!,#REF!</definedName>
    <definedName name="Z_F2D042FC_2606_11D1_BD91_0020AF42250B_.wvu.Cols" hidden="1">#REF!,#REF!,#REF!</definedName>
    <definedName name="Z_F8A287BF_980C_4986_B08C_54EAB9AA17CB_.wvu.FilterData" hidden="1">#REF!</definedName>
    <definedName name="Z_F8A287BF_980C_4986_B08C_54EAB9AA17CB_.wvu.PrintTitles" hidden="1">#REF!</definedName>
    <definedName name="Z_FAFA6ED0_0531_11D1_BD56_0020AF42250B_.wvu.Cols" hidden="1">#REF!,#REF!,#REF!,#REF!</definedName>
    <definedName name="Z_FAFA6ED0_0531_11D1_BD56_0020AF42250B_.wvu.PrintArea" hidden="1">#REF!</definedName>
    <definedName name="Z_FAFA6ED0_0531_11D1_BD56_0020AF42250B_.wvu.PrintTitles" hidden="1">#REF!</definedName>
    <definedName name="Z_FAFA6ED1_0531_11D1_BD56_0020AF42250B_.wvu.Cols" hidden="1">#REF!,#REF!,#REF!</definedName>
    <definedName name="Z_FAFA6ED1_0531_11D1_BD56_0020AF42250B_.wvu.PrintArea" hidden="1">#REF!</definedName>
    <definedName name="Z_FAFA6ED1_0531_11D1_BD56_0020AF42250B_.wvu.PrintTitles" hidden="1">#REF!</definedName>
    <definedName name="Zaventhem2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zy" hidden="1">{"Cover",#N/A,FALSE,"Cover";"Summary",#N/A,FALSE,"Summarpage"}</definedName>
    <definedName name="zzz" hidden="1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2" i="11" l="1"/>
  <c r="U3" i="11"/>
  <c r="U4" i="11"/>
  <c r="U5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6" i="11"/>
  <c r="D8" i="17"/>
  <c r="C33" i="11"/>
  <c r="X30" i="11"/>
  <c r="L30" i="11"/>
  <c r="K30" i="11"/>
  <c r="J30" i="11"/>
  <c r="C30" i="11"/>
  <c r="E39" i="4"/>
  <c r="E73" i="4"/>
  <c r="E67" i="4"/>
  <c r="E63" i="4"/>
  <c r="E54" i="4"/>
  <c r="E44" i="4"/>
  <c r="E33" i="4"/>
  <c r="E23" i="4"/>
  <c r="D4" i="4"/>
  <c r="M30" i="11" l="1"/>
  <c r="E17" i="4"/>
  <c r="E45" i="4"/>
  <c r="E13" i="4"/>
  <c r="E12" i="4"/>
  <c r="D5" i="4" l="1"/>
  <c r="E32" i="4" l="1"/>
  <c r="E66" i="4"/>
  <c r="D18" i="4"/>
  <c r="E10" i="4"/>
  <c r="E19" i="4"/>
  <c r="E69" i="4"/>
  <c r="E18" i="4"/>
  <c r="E65" i="4"/>
  <c r="E31" i="4"/>
  <c r="E40" i="4" l="1"/>
  <c r="D73" i="4"/>
  <c r="D54" i="4"/>
  <c r="D31" i="4"/>
  <c r="D66" i="4"/>
  <c r="E49" i="4"/>
  <c r="D49" i="4"/>
  <c r="E20" i="4"/>
  <c r="D20" i="4"/>
  <c r="E41" i="4"/>
  <c r="D41" i="4"/>
  <c r="D69" i="4"/>
  <c r="E68" i="4"/>
  <c r="D65" i="4"/>
  <c r="D32" i="4"/>
  <c r="E24" i="4"/>
  <c r="E64" i="4"/>
  <c r="D68" i="4" l="1"/>
  <c r="E46" i="4"/>
  <c r="D46" i="4"/>
  <c r="D72" i="4" l="1"/>
  <c r="E72" i="4"/>
  <c r="E21" i="4"/>
  <c r="E50" i="4"/>
  <c r="D50" i="4"/>
  <c r="E70" i="4"/>
  <c r="D70" i="4"/>
  <c r="E75" i="4"/>
  <c r="E71" i="4"/>
  <c r="D75" i="4"/>
  <c r="D71" i="4"/>
  <c r="D42" i="4" l="1"/>
  <c r="E42" i="4"/>
  <c r="D22" i="4"/>
  <c r="E22" i="4"/>
  <c r="D43" i="4"/>
  <c r="E43" i="4"/>
  <c r="E27" i="4"/>
  <c r="E28" i="4"/>
  <c r="E26" i="4"/>
  <c r="E58" i="4" l="1"/>
  <c r="D58" i="4"/>
  <c r="E36" i="4" l="1"/>
  <c r="D36" i="4"/>
  <c r="E53" i="4"/>
  <c r="D53" i="4"/>
  <c r="D52" i="4"/>
  <c r="E52" i="4"/>
  <c r="E51" i="4" l="1"/>
  <c r="E55" i="4" s="1"/>
  <c r="D51" i="4"/>
  <c r="D55" i="4" s="1"/>
  <c r="E59" i="4" l="1"/>
  <c r="E60" i="4" s="1"/>
  <c r="D59" i="4"/>
  <c r="D60" i="4" s="1"/>
  <c r="E78" i="4"/>
  <c r="E79" i="4" l="1"/>
  <c r="E80" i="4"/>
  <c r="E83" i="4" l="1"/>
  <c r="E84" i="4" l="1"/>
  <c r="E85" i="4"/>
  <c r="E90" i="4" l="1"/>
  <c r="E88" i="4" l="1"/>
  <c r="E89" i="4"/>
</calcChain>
</file>

<file path=xl/sharedStrings.xml><?xml version="1.0" encoding="utf-8"?>
<sst xmlns="http://schemas.openxmlformats.org/spreadsheetml/2006/main" count="1079" uniqueCount="634">
  <si>
    <t>Exit</t>
  </si>
  <si>
    <t>Rental Growth</t>
  </si>
  <si>
    <t>NIY</t>
  </si>
  <si>
    <t>Margin</t>
  </si>
  <si>
    <t>Capex</t>
  </si>
  <si>
    <t>LTV</t>
  </si>
  <si>
    <t>Transaction Costs</t>
  </si>
  <si>
    <t>ERV</t>
  </si>
  <si>
    <t>Exit Purchaser Costs</t>
  </si>
  <si>
    <t>Zodiac</t>
  </si>
  <si>
    <t>Basildon</t>
  </si>
  <si>
    <t>Hobley</t>
  </si>
  <si>
    <t>Cannon</t>
  </si>
  <si>
    <t>Anniesland</t>
  </si>
  <si>
    <t>Project</t>
  </si>
  <si>
    <t>West Craig, Edinburgh</t>
  </si>
  <si>
    <t>Project Description</t>
  </si>
  <si>
    <t>Industrial</t>
  </si>
  <si>
    <t>Cashflow Start Date</t>
  </si>
  <si>
    <t>Cashflow End Date</t>
  </si>
  <si>
    <t>Summary Sheet</t>
  </si>
  <si>
    <t>Site Information</t>
  </si>
  <si>
    <t>£ psf</t>
  </si>
  <si>
    <t>Site Area (acres)</t>
  </si>
  <si>
    <t>Total GIA (sqft)</t>
  </si>
  <si>
    <t>Tenure</t>
  </si>
  <si>
    <t>FH</t>
  </si>
  <si>
    <t>No. Tenants</t>
  </si>
  <si>
    <t>No. Units</t>
  </si>
  <si>
    <t>Occupancy (%)</t>
  </si>
  <si>
    <t>Acquisition</t>
  </si>
  <si>
    <t>Hold period (Yrs)</t>
  </si>
  <si>
    <t>Purchase Price (£m)</t>
  </si>
  <si>
    <t>Less Rent Free Top Up</t>
  </si>
  <si>
    <t>Net Purchase Price (topped up)</t>
  </si>
  <si>
    <t>Purchasers Costs</t>
  </si>
  <si>
    <t>Purchase Price (£m, Including Costs)</t>
  </si>
  <si>
    <t>Net Initial Yield (before top ups)</t>
  </si>
  <si>
    <t>Net Initial Yield (topped up)</t>
  </si>
  <si>
    <t>Net Equivalent Yield</t>
  </si>
  <si>
    <t>Net Reversionary Yield</t>
  </si>
  <si>
    <t>Yield on Cost (Untrended)</t>
  </si>
  <si>
    <t>Yield on Cost (Trended)</t>
  </si>
  <si>
    <t>NOI</t>
  </si>
  <si>
    <t>Net Income (Day 1)</t>
  </si>
  <si>
    <t>ERV (Day 1)</t>
  </si>
  <si>
    <t>CapEx</t>
  </si>
  <si>
    <t>Refurbishment Cost (£m, Incl Fees &amp; Contingency)</t>
  </si>
  <si>
    <t>Finance</t>
  </si>
  <si>
    <t>LTC</t>
  </si>
  <si>
    <t>LTGV</t>
  </si>
  <si>
    <t>Total Debt (£m)</t>
  </si>
  <si>
    <t>Total Equity (£m)</t>
  </si>
  <si>
    <t>Total Capital (£m)</t>
  </si>
  <si>
    <t>SONIA</t>
  </si>
  <si>
    <t>Arrangement Fee</t>
  </si>
  <si>
    <t>Total Costs</t>
  </si>
  <si>
    <t>Net Purchase Costs</t>
  </si>
  <si>
    <t>Non-recoverables</t>
  </si>
  <si>
    <t>Void Costs</t>
  </si>
  <si>
    <t>Capital Expenditure</t>
  </si>
  <si>
    <t>Total Income</t>
  </si>
  <si>
    <t>Gross Income</t>
  </si>
  <si>
    <t>Net Exit</t>
  </si>
  <si>
    <t>Exit NIY</t>
  </si>
  <si>
    <t>Exit NRY</t>
  </si>
  <si>
    <t>Exit NOI</t>
  </si>
  <si>
    <t>Exit ERV</t>
  </si>
  <si>
    <t>ERV Growth</t>
  </si>
  <si>
    <t>GDV (£m)</t>
  </si>
  <si>
    <t>Top Ups</t>
  </si>
  <si>
    <t>NDV (£m)</t>
  </si>
  <si>
    <t>Capital Gains Tax</t>
  </si>
  <si>
    <t>Latent Capital Gains Tax</t>
  </si>
  <si>
    <t>NDV (£m) post tax</t>
  </si>
  <si>
    <t>Gross Unlevered Returns</t>
  </si>
  <si>
    <t>IRR</t>
  </si>
  <si>
    <t>EM</t>
  </si>
  <si>
    <t>Profit (£m)</t>
  </si>
  <si>
    <t>Gross Levered Returns</t>
  </si>
  <si>
    <t>Net Returns (Post Tax, Fees)</t>
  </si>
  <si>
    <t>Yes</t>
  </si>
  <si>
    <t>Asset</t>
  </si>
  <si>
    <t>Tenant</t>
  </si>
  <si>
    <t>Unit</t>
  </si>
  <si>
    <t>1954 Act</t>
  </si>
  <si>
    <t>Y</t>
  </si>
  <si>
    <t>N</t>
  </si>
  <si>
    <t>Break</t>
  </si>
  <si>
    <t>Lease Start</t>
  </si>
  <si>
    <t>Comments</t>
  </si>
  <si>
    <t>GIA (Sq Ft)</t>
  </si>
  <si>
    <t>Break Date</t>
  </si>
  <si>
    <t>Rent Review</t>
  </si>
  <si>
    <t>Expiry</t>
  </si>
  <si>
    <t>Vacating</t>
  </si>
  <si>
    <t>AWULTC (yrs)</t>
  </si>
  <si>
    <t>AWULT (yrs)</t>
  </si>
  <si>
    <t>Marketing Rent (p.a.)</t>
  </si>
  <si>
    <t>Marketing Rent (psf)</t>
  </si>
  <si>
    <t>Void</t>
  </si>
  <si>
    <t>Letting Void</t>
  </si>
  <si>
    <t>RF</t>
  </si>
  <si>
    <t>% Passing Income</t>
  </si>
  <si>
    <t>Schedule of Condition</t>
  </si>
  <si>
    <t>EPC Rating</t>
  </si>
  <si>
    <t>1 Deans Road</t>
  </si>
  <si>
    <t>Travis Perkins (Properties) Ltd</t>
  </si>
  <si>
    <t>22/07/2024</t>
  </si>
  <si>
    <t>22/07/2029</t>
  </si>
  <si>
    <t>21/07/2034</t>
  </si>
  <si>
    <t>Inside</t>
  </si>
  <si>
    <t>No</t>
  </si>
  <si>
    <t>C</t>
  </si>
  <si>
    <t>Yard overage of 10,237 sq ft which is rentalised.</t>
  </si>
  <si>
    <t>2 Deans Road</t>
  </si>
  <si>
    <t>Vita Cellular Foams (UK) Ltd</t>
  </si>
  <si>
    <t>15/02/2017</t>
  </si>
  <si>
    <t>14/02/2027</t>
  </si>
  <si>
    <t>D</t>
  </si>
  <si>
    <t>3A Deans Road</t>
  </si>
  <si>
    <t>Health Bridge Ltd</t>
  </si>
  <si>
    <t>24/01/2025</t>
  </si>
  <si>
    <t>23/01/2028</t>
  </si>
  <si>
    <t>23/01/2030</t>
  </si>
  <si>
    <t>Outside</t>
  </si>
  <si>
    <t>B</t>
  </si>
  <si>
    <t>Rent deposit of £81,161.96 plus a sum equal to VAT. 4 months' half rent if 2028 break option is not actioned.</t>
  </si>
  <si>
    <t>3B Deans Road</t>
  </si>
  <si>
    <t>ICS</t>
  </si>
  <si>
    <t>Rent deposit of £71,000.03 plus a sum equal to VAT.</t>
  </si>
  <si>
    <t>3C Deans Road</t>
  </si>
  <si>
    <t>Samworth Brothers Ltd</t>
  </si>
  <si>
    <t>16/01/2017</t>
  </si>
  <si>
    <t>15/01/2027</t>
  </si>
  <si>
    <t>Service Charge capped at £4,000 per annum with annual RPI increases.</t>
  </si>
  <si>
    <t>4 Deans Road</t>
  </si>
  <si>
    <t>Fastfit Station MK Ltd</t>
  </si>
  <si>
    <t>Rent deposit of £24,762.01 including VAT.</t>
  </si>
  <si>
    <t>5 Deans Road</t>
  </si>
  <si>
    <t>Under Offer
Milton Keynes City Council</t>
  </si>
  <si>
    <t>A</t>
  </si>
  <si>
    <t>Unit has recently been refurbished. Unit is U/O to Milton Keynes City Council. Annual rent: £82,943 per annum. 5 year lease with a tenant only break in year 3, subject to 6 months prior written notice.</t>
  </si>
  <si>
    <t>6 Deans Road</t>
  </si>
  <si>
    <t>LGI Logistics Group International UK Ltd</t>
  </si>
  <si>
    <t>15/01/2026</t>
  </si>
  <si>
    <t>14/01/2029</t>
  </si>
  <si>
    <t>14/01/2031</t>
  </si>
  <si>
    <t>If the break option is not exercised the tenant will benefit from a further 3 month rent free period from 15 Jan 2029 to 14 April 2029. Rent deposit of £23,395.48 plus a sum equal to VAT.</t>
  </si>
  <si>
    <t>7 Deans Road</t>
  </si>
  <si>
    <t>Stenze Ltd - In Liquidation (Vacant)</t>
  </si>
  <si>
    <t>29/05/2020</t>
  </si>
  <si>
    <t>28/05/2030</t>
  </si>
  <si>
    <t>Tenant in liquidation. Vendor to provide a 12 month rental guarantee at £11.75 psf.</t>
  </si>
  <si>
    <t>8 Deans Road</t>
  </si>
  <si>
    <t>Howden Joinery Properties Ltd</t>
  </si>
  <si>
    <t>25/03/2024</t>
  </si>
  <si>
    <t>24/03/2029</t>
  </si>
  <si>
    <t>25/03/2029</t>
  </si>
  <si>
    <t>24/03/2034</t>
  </si>
  <si>
    <t>Lease guaranteed by Howden Joinery Ltd. Tenant option to break subject to not less than 6 months notice. Yard overage of 6,833 sq ft which is rentalised.</t>
  </si>
  <si>
    <t>9A Deans Road</t>
  </si>
  <si>
    <t>Maclean Int Ltd T/a Bath Depot UK</t>
  </si>
  <si>
    <t>31/03/2030</t>
  </si>
  <si>
    <t>9B Deans Road</t>
  </si>
  <si>
    <t>31/03/2028</t>
  </si>
  <si>
    <t>Rent deposit of £25,327.22 plus a sum equal to VAT pursuant to the RDD.</t>
  </si>
  <si>
    <t>15A Deans Road</t>
  </si>
  <si>
    <t>Americ Associates Ltd</t>
  </si>
  <si>
    <t>20/12/2024</t>
  </si>
  <si>
    <t>19/12/2029</t>
  </si>
  <si>
    <t>Rent deposit of £15,770.71 plus a sum equal to VAT.</t>
  </si>
  <si>
    <t>15B Deans Road</t>
  </si>
  <si>
    <t>Pattern One Ltd</t>
  </si>
  <si>
    <t>31/01/2030</t>
  </si>
  <si>
    <t>15C Deans Road</t>
  </si>
  <si>
    <t>16 Deans Road</t>
  </si>
  <si>
    <t>17 Deans Road</t>
  </si>
  <si>
    <t>1 Canons Road</t>
  </si>
  <si>
    <t>Plant Designs Ltd</t>
  </si>
  <si>
    <t>30/09/2035</t>
  </si>
  <si>
    <t>2 months' rent free if 2030 break option is not actioned. Rent deposit of £34,469.01 plus a sum equal to VAT.</t>
  </si>
  <si>
    <t>2 Canons Road</t>
  </si>
  <si>
    <t>28/01/2026</t>
  </si>
  <si>
    <t>10 months' half rent from lease commencement. Vendor to top up. 2 months' rent free if 2030 break option is not actioned. Rent deposit of £26,245.35 plus a sum equal to VAT.</t>
  </si>
  <si>
    <t>3 Canons Road</t>
  </si>
  <si>
    <t>BCQ Solutions Limited</t>
  </si>
  <si>
    <t>19/08/2023</t>
  </si>
  <si>
    <t>18/08/2028</t>
  </si>
  <si>
    <t>Rent deposit of £16,070.09 plus a sum equal to VAT. Lease is guaranteed by William Pollard &amp; Company Limited.</t>
  </si>
  <si>
    <t>4 Canons Road</t>
  </si>
  <si>
    <t>Places for People Homes Ltd</t>
  </si>
  <si>
    <t>16/01/2022</t>
  </si>
  <si>
    <t>5 &amp; 6 Canons Road</t>
  </si>
  <si>
    <t>Deutschtech Ltd</t>
  </si>
  <si>
    <t>Rent deposit of £24,384.65 inclusive of a sum equal to VAT.</t>
  </si>
  <si>
    <t>7 Canons Road</t>
  </si>
  <si>
    <t>Highway Utilities Ltd</t>
  </si>
  <si>
    <t>8 Canons Road</t>
  </si>
  <si>
    <t>Associated Security Solutions Limited</t>
  </si>
  <si>
    <t>9 Canons Road</t>
  </si>
  <si>
    <t>Vacant</t>
  </si>
  <si>
    <t>Vendor to provide a 12 month rental guarantee at £14.00 psf.</t>
  </si>
  <si>
    <t>10 Canons Road</t>
  </si>
  <si>
    <t>Eurocell Building Plastics Ltd</t>
  </si>
  <si>
    <t>11 Canons Road</t>
  </si>
  <si>
    <t>Total Support Glass &amp; Glazing Ltd</t>
  </si>
  <si>
    <t>Rent deposit of £8,065.69 plus a sum equal to VAT. 6 months' half rent from lease commencement. Vendor to top up. Lease guaranteed by Total Support Raining Ltd.</t>
  </si>
  <si>
    <t>12 Canons Road</t>
  </si>
  <si>
    <t>Apex Manufacturing Ltd</t>
  </si>
  <si>
    <t>14/04/2025</t>
  </si>
  <si>
    <t>14/04/2028</t>
  </si>
  <si>
    <t>13/04/2030</t>
  </si>
  <si>
    <t>Rent deposit of £27,014.34 plus a sum equal to VAT.</t>
  </si>
  <si>
    <t>TOTAL</t>
  </si>
  <si>
    <t>PGIM UNDERWRITE MODEL — TENANCY INPUTS BUILD GUIDE</t>
  </si>
  <si>
    <t>How to populate Tenancy Inputs from a broker tenancy schedule and ensure it flows through the rest of the model. Read end-to-end before touching the workbook.</t>
  </si>
  <si>
    <t>How to populate Tenancy Inputs from a broker tenancy schedule and ensure it flows through the rest of the model.</t>
  </si>
  <si>
    <t>0. ADDING A NEW ASSET TO AN EXISTING TEMPLATE</t>
  </si>
  <si>
    <t>If you have the model with WC + 3 Meadow assets wired and want to add a 5th asset, follow this section first. Then use later sections as deeper reference.</t>
  </si>
  <si>
    <t>0.1 Plan the Block Position</t>
  </si>
  <si>
    <t>Current layout: WC=34-52, Zodiac=61-67, Basildon=75-81, Hobley=89-112. Each block has header rows, unit rows, subtotal row, with 6-8 row gap between blocks.</t>
  </si>
  <si>
    <t>Insert new asset BELOW row 113 (so existing block ranges stay valid). Block size = #units + ~6 buffer rows.</t>
  </si>
  <si>
    <t>0.2 Insert New Toggle in F Column</t>
  </si>
  <si>
    <t>Existing: F10 (WC), F11 (Zodiac), F12 (Basildon), F13 (Hobley). Add F14 = 1 for new asset. Toggles MUST be referenced by every formula that sums across blocks.</t>
  </si>
  <si>
    <t>0.3 Cross-Asset Formulas to Update</t>
  </si>
  <si>
    <t>TI: P119, I119, DC119 (add new subtotal); DG (Contingency); AS, AT (block-local).</t>
  </si>
  <si>
    <t>GA: D16 (Net PP); D17 (Vacancy Deduction) — both shape: SUMPRODUCT(block × toggle) summed across all blocks.</t>
  </si>
  <si>
    <t>I&amp;C (every period H:CG): Row 50/52 income; Row 61 Agent Fees; Row 62 Legal; Row 67 Business Rates void; Row 68 SC void; Row 69 Other Void; Row 86 CapEx.</t>
  </si>
  <si>
    <t>PCF: F29 references DC119 (cascades automatically). All IRRs reference cashflow rows — no per-asset work.</t>
  </si>
  <si>
    <t>CFO: D14 references P119. E5 references DC119. Both already cascade.</t>
  </si>
  <si>
    <t>0.4 Step-by-Step Build for New Asset</t>
  </si>
  <si>
    <t>1. Insert rows below last block. Reserve enough for header (4 rows), units, subtotal.</t>
  </si>
  <si>
    <t>2. Build asset header section (mirror existing pattern around rows 56-60).</t>
  </si>
  <si>
    <t>3. Add asset toggle at F14: hardcoded 1.</t>
  </si>
  <si>
    <t>4. Pull broker data per unit using formula table in Section 3 below.</t>
  </si>
  <si>
    <t>5. Determine event types per unit using rules in Section 5 Step 2.</t>
  </si>
  <si>
    <t>6. Apply per-unit formulas: V/W/X/Y entry valuation; AW NEF; AX ERV at Rent Review; CD/CE/CF/CG/CN lease cycle; BJ agent fee.</t>
  </si>
  <si>
    <t>7. Apply special-case treatments (Break, Vacant @ Entry — Section 6).</t>
  </si>
  <si>
    <t>8. Write subtotal row using =SUM(unit_range)*F[toggle] pattern for P, I, DC.</t>
  </si>
  <si>
    <t>9. Update grand totals row 119: add new subtotal cell to P119, I119, DC119.</t>
  </si>
  <si>
    <t>10. Update GA D16/D17 to include new block.</t>
  </si>
  <si>
    <t>11. Update I&amp;C rows 50, 61, 62, 67, 68, 69, 86 to include new block.</t>
  </si>
  <si>
    <t>12. Test toggle: set F[new] = 0 then 1, verify IRR moves.</t>
  </si>
  <si>
    <t>13. Verify no #REF! errors anywhere (search each calc sheet).</t>
  </si>
  <si>
    <t>14. Verify DC119 grand total moves when new asset toggled on.</t>
  </si>
  <si>
    <t>15. Validate IRR consistency: PCF D113 must match CFO K18 to 2 dp.</t>
  </si>
  <si>
    <t>0.5 Pre-Build Audit Checks</t>
  </si>
  <si>
    <t>Subtotal pattern: every subtotal row uses =SUM(unit_range)*F[toggle], NOT per-unit formula.</t>
  </si>
  <si>
    <t>Toggle linkage: every cross-asset formula multiplies each block by its respective toggle.</t>
  </si>
  <si>
    <t>Column letter drift: TI columns shift after inserts. Re-read TI row 33 — don't assume position. Particularly affected: AT/AU/AV (SC area), CB/CD/CE (Lease Exit), CG/CH/CI/CJ (Next Lease ERV).</t>
  </si>
  <si>
    <t>#REF! survivors: search each calc sheet for '#REF!' — old column refs break silently.</t>
  </si>
  <si>
    <t>IRR date convention: all XIRR uses period-end dates (PCF row 9, not row 8).</t>
  </si>
  <si>
    <t>1. WORKBOOK STRUCTURE</t>
  </si>
  <si>
    <t>Source data sheets:</t>
  </si>
  <si>
    <t xml:space="preserve">  'West Craig' — reference asset, 19 tenants rows 6-24.</t>
  </si>
  <si>
    <t xml:space="preserve">  'Meadow ' (note trailing space) — 3 assets: Zodiac (rows 2-8), Basildon (9-16), Hobley (17-40).</t>
  </si>
  <si>
    <t xml:space="preserve">  'RC (2)' — reference for WC computed lease cycle.</t>
  </si>
  <si>
    <t>Calculation/output sheets:</t>
  </si>
  <si>
    <t xml:space="preserve">  'Tenancy Inputs' (TI) — unified per-unit input table. WC=34-52 (F10), Zodiac=61-67 (F11), Basildon=75-81 (F12), Hobley=89-112 (F13). Subtotals: 53, 68, 82/83, 113/114. Grand total: 119.</t>
  </si>
  <si>
    <t xml:space="preserve">  'Income &amp; Cost Schedule' (I&amp;C) — monthly cashflow. Row 14=period start, Row 15=period end, Row 13=quarter label. Periods H:CG.</t>
  </si>
  <si>
    <t xml:space="preserve">  'Project Cashflow' (PCF) — unlevered/levered/post-promote waterfall. Row 8=period start, Row 9=period end. ALL XIRR uses row 9.</t>
  </si>
  <si>
    <t xml:space="preserve">  'Global Assumptions' (GA) — PP, costs, exit yields, debt, fund-level.</t>
  </si>
  <si>
    <t xml:space="preserve">  'Cash Flow Output' (CFO) — final IRR/MOIC/CoC summary.</t>
  </si>
  <si>
    <t>2. MEADOW TENANCY SCHEDULE — COLUMN MAP</t>
  </si>
  <si>
    <t>A=Asset Name | B=Region | C=Unit Number | D=Tenant | E=Sq Ft (GIA) | F=Grow ERV to Lease Start (annual %)</t>
  </si>
  <si>
    <t>G=ENTRY YIELD (acquisition NIY) | H=EXIT YIELD (NOT entry — easy to confuse)</t>
  </si>
  <si>
    <t>I=Letting Void mths | J=Total Void | K=Rent Free | L=Lease Start | M=Lease Expiry</t>
  </si>
  <si>
    <t>N=Break Date (often blank if break=expiry) | O=Break Taken (1=Yes, 0=No) — KEY for Break event detection</t>
  </si>
  <si>
    <t>Q=Rent Review NEF (= 0.925) | S=Mark to Market years (offset from CF start)</t>
  </si>
  <si>
    <t>V=Passing Rent £pa | Z=ERV £pa headline</t>
  </si>
  <si>
    <t>AC=Rateable Value £ | AD=Business Rates £pa (rates payable when vacant) | AE=Service Charge £pa</t>
  </si>
  <si>
    <t>AI=Renewal (Y) / Vacate (X) — KEY for Event Type assignment</t>
  </si>
  <si>
    <t>AQ=Capex psf | AT=Assumed Void Months (12 typical) | AU=Assumed Rent Free Months (6 typical)</t>
  </si>
  <si>
    <t>3. TENANCY INPUTS COLUMN MAP</t>
  </si>
  <si>
    <t>ALWAYS re-read TI row 33 before writing — column letters shift after inserts.</t>
  </si>
  <si>
    <t>Identity &amp; Lease (B-O):</t>
  </si>
  <si>
    <t>B=Asst no. | C=Asset name | E=Region | F=Sector | G=Unit ('Meadow '!C[row]) | H=Tenant ('Meadow '!D[row])</t>
  </si>
  <si>
    <t>I=Area sqft ('Meadow '!E[row]) | J=Area sqm (=I/10.7639) | K=Area % (=IFERROR(I/I$120,0))</t>
  </si>
  <si>
    <t>L=Lease Start ('Meadow '!L[row])</t>
  </si>
  <si>
    <t>M=Rent Review Date (=IFERROR($C$4+'Meadow '!S[row]*365.25,99999)) — SET TO 99999 for Break units</t>
  </si>
  <si>
    <t>N=Break Option Date (=IF('Meadow '!N[row]=0,'Meadow '!M[row],'Meadow '!N[row])) — only for breakers</t>
  </si>
  <si>
    <t>O=Lease Expiry ('Meadow '!M[row]) | P=Rent Passing ('Meadow '!V[row])</t>
  </si>
  <si>
    <t>Per-Unit Valuation Block (S-Y):</t>
  </si>
  <si>
    <t>S=Vacant @ Entry Y/N — manual: 'Y' if lease expiry &lt; model start, else 'N'</t>
  </si>
  <si>
    <t>T=NIY at Acquisition = 'Meadow '!G[row] — MEADOW G (Entry Yield), NOT H (Exit Yield)</t>
  </si>
  <si>
    <t>U=ERV (Day 1) ('Meadow '!Z[row])</t>
  </si>
  <si>
    <t>V=Rent for Pricing (=IF($S[row]="Y",$U[row],$P[row])) — vacant priced on ERV, occupied on passing</t>
  </si>
  <si>
    <t>W=Gross Capital Value Entry (=IFERROR($V[row]/$T[row],0))</t>
  </si>
  <si>
    <t>X=Vacancy Deduction Entry (=IF($S[row]="Y",$U[row]*($I$12/12+$I$13),0)) — PP deduction for vacant entry</t>
  </si>
  <si>
    <t>Y=Net Capital Value Entry (=IFERROR(($W[row]-$X[row])/(1+'Global Assumptions'!$E$19),0))</t>
  </si>
  <si>
    <t>Event Logic (AA-AI):</t>
  </si>
  <si>
    <t>AA=Event Type — 'Rent Review' / 'Break' / 'Vacate' / 'Renewal' (manual)</t>
  </si>
  <si>
    <t>AB-AH=Break sub-cols (Notice/Type/Penalty/RF) — for breakers only</t>
  </si>
  <si>
    <t>AI=Break Type T/M/L — 'T' tenant break TRIGGERS 20% letting fee in BJ formula</t>
  </si>
  <si>
    <t>Rates &amp; SC (AQ-AW):</t>
  </si>
  <si>
    <t>AQ=Rateable Value ('Meadow '!AC[row]) | AR=Rates Payable ('Meadow '!AD[row]) — used by void cost row 67</t>
  </si>
  <si>
    <t>AS=Rates Delay mths (=IF(OR($S[row]="Y",$CE[row]="Vacate",$CE[row]="Break"),$I$14,"-"))</t>
  </si>
  <si>
    <t>AT=Rates Start Date (=IF($S[row]="Y",EDATE($C$4,$I$14),IF(OR($CE[row]="Vacate",$CE[row]="Break"),EDATE($CD[row],$I$14),"-")))</t>
  </si>
  <si>
    <t>AU=Other Void Costs (default 0) | AV=Service Charge £pa ('Meadow '!AE[row]) | AW=Service Charge £psf (=IFERROR(AV[row]/I[row],0))</t>
  </si>
  <si>
    <t>ERV Iteration (AV-AX):</t>
  </si>
  <si>
    <t>AV=Rental Growth pa ('Meadow '!F[row])</t>
  </si>
  <si>
    <t>AW=NEF for Rent Review = 'Meadow '!Q[row] (=0.925) for RR units; =1 for Break/Vacate</t>
  </si>
  <si>
    <t>AX=ERV at Rent Review formula:</t>
  </si>
  <si>
    <t xml:space="preserve">  =IF($AA[row]="Rent Review", IFERROR(($AS[row]*$AW[row])*(1+$AV[row])^(YEARFRAC($C$4,$M[row])), $AS[row]),</t>
  </si>
  <si>
    <t xml:space="preserve">    IF($M[row]&gt;50000, $AS[row], IFERROR($AS[row]*(1+$AV[row])^(YEARFRAC($C$4,$M[row])), $AS[row])))</t>
  </si>
  <si>
    <t>Fees (BE-BL):</t>
  </si>
  <si>
    <t>BF=Legal Fees % (2% of rent) | BG=Legal Fees £</t>
  </si>
  <si>
    <t>BJ=Agent Fees % — KEY FORMULA:</t>
  </si>
  <si>
    <t xml:space="preserve">  =IF($S[row]="Y",0,IF($AG[row]="Y",0,IF(OR(CE[row]="Vacate",AI[row]="T"),$C$16,IF(CE[row]="Renewal",$C$17,0))))</t>
  </si>
  <si>
    <t>BK=Agent Fees £ (=BJ[row]*CK[row])</t>
  </si>
  <si>
    <t>Lease Cycle Block (CB-CK):</t>
  </si>
  <si>
    <t>CD=Lease Exit Date (=IF($S[row]="Y",$C$4,IF($CE[row]="Break",N[row],O[row])))</t>
  </si>
  <si>
    <t>CE=Exit Event ('Renewal'/'Vacate'/'Break')</t>
  </si>
  <si>
    <t>CF=Void mths (=IF($S[row]="Y",$I$10,IF('Meadow '!AI[mrow]="Y",0,'Meadow '!AT[mrow])))</t>
  </si>
  <si>
    <t>CG=New Lease Start Date (=EDATE(CD[row],CF[row]))</t>
  </si>
  <si>
    <t>CN=Rent Free mths (=IF($S[row]="Y",$I$11,IF('Meadow '!AI[mrow]="Y",0,'Meadow '!AU[mrow])))</t>
  </si>
  <si>
    <t>CG/CH=NEF + ERV @ Next Lease: NEF=1 default (0.925 for RR); ERV=IFERROR(($AS[row]*$CG[row])*(1+$AV[row])^((EDATE($CE[row],-$CF[row])-$C$4)/365.25),$AS[row])</t>
  </si>
  <si>
    <t>CK=Rent p.a. next lease (=CH[row])</t>
  </si>
  <si>
    <t>Exit Valuation (CP-DG):</t>
  </si>
  <si>
    <t>CP=Lease Exit Date next lease (=EDATE(CG[row],CM[row])) | CQ=Exit Date ('Global Assumptions'!$D$9)</t>
  </si>
  <si>
    <t>CS=Vacant @ Exit Y/N (=IF($CP[row]&lt;$CQ[row],"Y","N")) — FORMULA, not hardcoded</t>
  </si>
  <si>
    <t>CU=Passing Rent at Exit | CY=Top Up at Exit | CZ=ERV at Exit (=$U[row]*(1+AX[row])^YEARFRAC($C$4,CQ[row]))</t>
  </si>
  <si>
    <t>DB=NIY at Exit ('GA'!$D$104 for WC, 'Meadow '!H[row] per-unit for Meadow since H is exit yield)</t>
  </si>
  <si>
    <t>DC=Gross Valuation at Exit (=IF(DB[row]=0,0,CU[row]/DB[row])-IF($CS[row]="Y",$CZ[row]*$I$15,0))</t>
  </si>
  <si>
    <t>DE=Net Valuation at Exit (=DC[row]/(1+'Global Assumptions'!$D$102))</t>
  </si>
  <si>
    <t>DG=Contingency pa: =-$C$23/(($C$5-$C$4)/365.25)*I[row]/SUMIF($C$[block]:$C$[block],C[row],$I$[block]:$I$[block])</t>
  </si>
  <si>
    <t>Subtotal Rows (53, 68, 82/83, 113/114) — CRITICAL:</t>
  </si>
  <si>
    <t>USE THE P53 PATTERN: =SUM(unit_range)*$F$[toggle], NOT the per-unit formula.</t>
  </si>
  <si>
    <t>Common bug: when adding a column, copying the per-unit formula into the subtotal row returns 0.</t>
  </si>
  <si>
    <t>Grand total: row 119 sums the four asset subtotals (P119, I119, DC119, etc.).</t>
  </si>
  <si>
    <t>4. VACANCY ASSUMPTIONS TABLE (TI rows 9-15)</t>
  </si>
  <si>
    <t>Top-left of TI, centralizes vacancy/relief inputs:</t>
  </si>
  <si>
    <t xml:space="preserve">  I10 = Entry: void months (default 12) — used by CF for vacant @ entry</t>
  </si>
  <si>
    <t xml:space="preserve">  I11 = Entry: rent free months (default 3) — used by CN for vacant @ entry</t>
  </si>
  <si>
    <t xml:space="preserve">  I12 = Entry: top-up months for PP deduction (default 6) — used by X formula</t>
  </si>
  <si>
    <t xml:space="preserve">  I13 = Entry: letting fee % of headline (default 0.20) — used by X formula</t>
  </si>
  <si>
    <t xml:space="preserve">  I14 = Void: empty rates relief mths (default 6) — used by AS, AT (rates start trigger)</t>
  </si>
  <si>
    <t xml:space="preserve">  I15 = Exit: ERV deduction × ERV (default 1) — used by DC for vacant @ exit</t>
  </si>
  <si>
    <t>Other key inputs:</t>
  </si>
  <si>
    <t xml:space="preserve">  C4 = Cashflow Start Date ('Global Assumptions'!D5)</t>
  </si>
  <si>
    <t xml:space="preserve">  C5 = Cashflow End Date ='Global Assumptions'!D9</t>
  </si>
  <si>
    <t xml:space="preserve">  C13 = Rental Growth pa ='Global Assumptions'!D43</t>
  </si>
  <si>
    <t xml:space="preserve">  C16 = Vacate/Break Letting Fee = 0.20 | C17 = Renewal Letting Fee = 0.05 | C18 = RR Letting Fee = 0</t>
  </si>
  <si>
    <t xml:space="preserve">  C23 = Per-asset contingency = £100,000</t>
  </si>
  <si>
    <t>Entry Vacancy PP Deduction Logic:</t>
  </si>
  <si>
    <t>For S='Y' units, PP deduction = U × (I12/12 + I13). At defaults: 6 mths top-up + 20% fee = U × 0.7.</t>
  </si>
  <si>
    <t>Empty Rates Relief:</t>
  </si>
  <si>
    <t>UK industrial gets 6 mths empty rates relief. After that, full rates kick in. AS=I14 (delay); AT=lease exit + I14 mths (when rates start).</t>
  </si>
  <si>
    <t>5. UNIT LEASING LIFECYCLE (Step by Step)</t>
  </si>
  <si>
    <t>Step 1 — Vacant at Entry (S column):</t>
  </si>
  <si>
    <t xml:space="preserve">  If Lease Expiry Date &lt; C4 OR broker calls it 'Vacant' (incl. 'Vacant - take out rent from PP') → S='Y'. Otherwise S='N'.</t>
  </si>
  <si>
    <t>Step 2 — Event Type (AA) and Lease Exit Event (CE):</t>
  </si>
  <si>
    <t xml:space="preserve">  Renewal — broker AI='Y' and no break taken. 0 void.</t>
  </si>
  <si>
    <t xml:space="preserve">  Rent Review — explicit RR/MTM event before lease end (typical for Meadow renewers with broker S column populated). Triggers AX iteration with NEF.</t>
  </si>
  <si>
    <t xml:space="preserve">  Break — broker O=1 AND AI='X'. Treated like Vacate. Lease Exit = break date (N), not expiry.</t>
  </si>
  <si>
    <t xml:space="preserve">  Vacate — broker AI='X' and O=0.</t>
  </si>
  <si>
    <t xml:space="preserve">  If unit Breaks: NO Rent Review — set M=99999.</t>
  </si>
  <si>
    <t>Step 3 — Lease Exit Date (CD):</t>
  </si>
  <si>
    <t xml:space="preserve">  =IF($S[row]="Y", $C$4, IF($CE[row]="Break", N[row], O[row]))</t>
  </si>
  <si>
    <t>Step 4 — Void Months (CF):</t>
  </si>
  <si>
    <t xml:space="preserve">  Vacant entry: =I10 (12) | Renewal: 0 | Vacate/Break: ='Meadow '!AT[mrow] (12)</t>
  </si>
  <si>
    <t xml:space="preserve">  Generic: =IF($S[row]="Y",$I$10,IF('Meadow '!AI[mrow]="Y",0,'Meadow '!AT[mrow]))</t>
  </si>
  <si>
    <t>Step 5 — Rent Free Lease 2 (CN):</t>
  </si>
  <si>
    <t xml:space="preserve">  Vacant entry: =I11 (3) | Renewal: 0 | Vacate/Break: ='Meadow '!AU[mrow] (6)</t>
  </si>
  <si>
    <t xml:space="preserve">  Generic: =IF($S[row]="Y",$I$11,IF('Meadow '!AI[mrow]="Y",0,'Meadow '!AU[mrow]))</t>
  </si>
  <si>
    <t>Step 6 — New Lease Start (CG): =EDATE(CD[row], CF[row])</t>
  </si>
  <si>
    <t>Step 7 — ERV at Next Lease (CH): =IFERROR(($AS[row]*$CG_NEF[row])*(1+$AV[row])^((EDATE($CE[row],-$CF[row])-$C$4)/365.25), $AS[row])</t>
  </si>
  <si>
    <t xml:space="preserve">  CG_NEF = 1 default, 0.925 for Rent Review.</t>
  </si>
  <si>
    <t>Step 8 — Vacant @ Exit (CS): =IF($CP[row]&lt;$CQ[row],"Y","N")</t>
  </si>
  <si>
    <t>Step 9 — Gross Exit Valuation (DC): =IF(DB[row]=0,0,CU[row]/DB[row]) - IF($CS[row]="Y",$CZ[row]*$I$15,0)</t>
  </si>
  <si>
    <t>6. SPECIAL CASE TREATMENTS</t>
  </si>
  <si>
    <t>Vacant @ Entry Units:</t>
  </si>
  <si>
    <t xml:space="preserve">  1. S='Y', AA='Vacate', CE='Vacate'</t>
  </si>
  <si>
    <t xml:space="preserve">  2. M=99999 (no rent review)</t>
  </si>
  <si>
    <t xml:space="preserve">  3. AW=1 (no NEF)</t>
  </si>
  <si>
    <t xml:space="preserve">  4. CD=C4 (lease 'exited' at model start)</t>
  </si>
  <si>
    <t xml:space="preserve">  5. CF=I10 (12 mths void), CN=I11 (3 mths rent free)</t>
  </si>
  <si>
    <t xml:space="preserve">  6. Color tenant name red bold (#FF0000) with note 'Lease expiry &lt; model start — treated as vacant at entry. Revisit logic.'</t>
  </si>
  <si>
    <t xml:space="preserve">  7. BJ formula MUST zero out these (IF(S="Y",0,...) — letting fee already in entry vacancy ded X. NO double-count.</t>
  </si>
  <si>
    <t>Break Units (CE='Break'):</t>
  </si>
  <si>
    <t xml:space="preserve">  1. AA='Break', CC/CE='Break'</t>
  </si>
  <si>
    <t xml:space="preserve">  2. AB=0, AC='T' (default Tenant), AD/AE=0</t>
  </si>
  <si>
    <t xml:space="preserve">  3. AI='T' — triggers 20% agent fee</t>
  </si>
  <si>
    <t xml:space="preserve">  4. Hardcode CH (ERV at Next Lease) in blue with note if RC has hardcoded value (preserved as input)</t>
  </si>
  <si>
    <t xml:space="preserve">  5. CF=12, CN=6</t>
  </si>
  <si>
    <t xml:space="preserve">  6. Add CapEx (BQ-CB): refurb Y, period 1 mth, capex psf from 'Meadow '!AQ</t>
  </si>
  <si>
    <t>Rent Review Units (most common Meadow pattern):</t>
  </si>
  <si>
    <t xml:space="preserve">  1. AA='Rent Review' (NOT 'Renewal')</t>
  </si>
  <si>
    <t xml:space="preserve">  2. AW='Meadow '!Q[row] (=0.925)</t>
  </si>
  <si>
    <t xml:space="preserve">  3. M=IFERROR($C$4+'Meadow '!S[row]*365.25,99999)</t>
  </si>
  <si>
    <t xml:space="preserve">  4. AX automatically grows ERV from Day 1 to M with NEF discount</t>
  </si>
  <si>
    <t xml:space="preserve">  Reasoning: 'units rent review first, then renew' — RR drives the model, renewal implicit afterward.</t>
  </si>
  <si>
    <t>Co-terminus Break (broker N blank but O=1):</t>
  </si>
  <si>
    <t xml:space="preserve">  =IF('Meadow '!N[row]=0,'Meadow '!M[row],'Meadow '!N[row]) falls back to expiry.</t>
  </si>
  <si>
    <t>7. CRITICAL CROSS-SHEET WIRES</t>
  </si>
  <si>
    <t>Asset Inclusion Toggles (TI F10:F13):</t>
  </si>
  <si>
    <t xml:space="preserve">  F10=WC, F11=Zodiac, F12=Basildon, F13=Hobley. Multiply each asset's contribution everywhere. Verify ALL toggles flow consistently.</t>
  </si>
  <si>
    <t>GA D16 (Net Purchase Price):</t>
  </si>
  <si>
    <t xml:space="preserve">  =(SUMPRODUCT('TI'!W34:W52)*'TI'!F10 + SUMPRODUCT('TI'!W61:W67)*'TI'!F11 + SUMPRODUCT('TI'!W75:W81)*'TI'!F12 + SUMPRODUCT('TI'!W89:W112)*'TI'!F13) / (1+E19)</t>
  </si>
  <si>
    <t>GA D17 (Vacancy Deduction):</t>
  </si>
  <si>
    <t xml:space="preserve">  =-(SUMPRODUCT('TI'!X34:X52)*'TI'!F10 + ...) / (1+E19) — CRITICAL: must be /(1+E19) for unit consistency with D16</t>
  </si>
  <si>
    <t>I&amp;C Subtotal Pattern:</t>
  </si>
  <si>
    <t xml:space="preserve">  Every column on TI: subtotal rows MUST use =SUM(unit_range)*F[toggle], not the per-unit formula.</t>
  </si>
  <si>
    <t>I&amp;C Void Cost Trigger (rows 67/68/69):</t>
  </si>
  <si>
    <t xml:space="preserve">  Pattern: period_start&gt;=start_date AND period_end&lt;=end_date. Use row 14 (start) and row 15 (end), NOT both as start.</t>
  </si>
  <si>
    <t xml:space="preserve">  Row 67 (Rates): =-(SUMPRODUCT((H$14&gt;='TI'!$AT$range)*(H$15&lt;='TI'!$CG$range)*(H$14&gt;='TI'!$CD$range)*('TI'!$AR$range/12))*'TI'!$F[toggle] + ...) * (H$14&lt;='GA'!$D$9)</t>
  </si>
  <si>
    <t xml:space="preserve">  Row 68 (SC): same shape, uses CD (lease exit) instead of AT for lower bound, AV (SC £pa) instead of AR.</t>
  </si>
  <si>
    <t xml:space="preserve">  Row 69 (Other): same as 68 but uses AU.</t>
  </si>
  <si>
    <t>IRR Date Convention:</t>
  </si>
  <si>
    <t xml:space="preserve">  ALWAYS use row 9 (period end) for XIRR in PCF and CFO. Row 8 (period start) gives ~25 bps lower IRR for the same cashflow.</t>
  </si>
  <si>
    <t>Agent Fees in I&amp;C (row 61):</t>
  </si>
  <si>
    <t xml:space="preserve">  Trigger: (period_start&lt;=CG) AND (period_end&gt;CG) — fires once when new lease commences, multiplied by per-unit BK.</t>
  </si>
  <si>
    <t>8. COMMON BUGS &amp; HOW TO SPOT THEM</t>
  </si>
  <si>
    <t>[BUG] Per-unit formula in subtotal row → Asset block sums to 0 → Check subtotal rows use =SUM(...)*F[toggle]</t>
  </si>
  <si>
    <t>[BUG] Wrong yield col on Meadow → NIY uniform across asset → T should ref Meadow!G (Entry), not Meadow!H (Exit)</t>
  </si>
  <si>
    <t>[BUG] Stale CB references after column inserts → Random small numbers like 182 (=6×30) → Re-read header positions, column inserts shift refs</t>
  </si>
  <si>
    <t>[BUG] Vacancy ded subtracted in wrong unit space → D17 reduces D16 by gross deduction → D17 must be /(1+E19)</t>
  </si>
  <si>
    <t>[BUG] Off-by-one period count in voids → Rates show 7 mths when expected 6 → Trigger uses period_start&lt;=CG, change to period_end (row 15) &lt;= CG</t>
  </si>
  <si>
    <t>[BUG] Letting fee double-counted → Vacant @ entry units have both X and BJ → BJ formula must start with IF(S="Y",0,...)</t>
  </si>
  <si>
    <t>[BUG] #REF! creeping in → Cells show #REF! after column work → Search each sheet for '#REF!', repoint</t>
  </si>
  <si>
    <t>[NOTE] WC Vacate units AR blank → Rates void cost = 0 for WC → Confirmed deliberate: WC has no rates data</t>
  </si>
  <si>
    <t>[BUG] Dimensional mismatch in I&amp;C void rows → Numbers larger than expected → Trigger must use row 14 (start) AND row 15 (end), not both as start</t>
  </si>
  <si>
    <t>9. STEP-BY-STEP BUILD PROCEDURE</t>
  </si>
  <si>
    <t>Pre-flight:</t>
  </si>
  <si>
    <t xml:space="preserve">  1. Identify TI block rows (e.g. 75-82)</t>
  </si>
  <si>
    <t xml:space="preserve">  2. Identify Meadow rows (e.g. 9-16)</t>
  </si>
  <si>
    <t xml:space="preserve">  3. Read TI row 33 to confirm CURRENT column letters for: I, L, M, N, O, P, S, T, U, AA, AI, AQ, AR, AS, AT, AV, AW, AX, BJ, BK, CD, CE, CF, CG, CN, CS, CZ, DC, DG. Do NOT assume.</t>
  </si>
  <si>
    <t>Build steps:</t>
  </si>
  <si>
    <t xml:space="preserve">  Step 1: Basic shell — hardcode B (asst no.), C (asset name), E (region), F (sector)</t>
  </si>
  <si>
    <t xml:space="preserve">  Step 2: Link broker data — G←Meadow!C, H←Meadow!D, I←Meadow!E, L←Meadow!L, M=formula with S col, N=IF(N=0,M,N) for breakers, O←Meadow!M, P←Meadow!V, T←Meadow!G (NOT H), U←Meadow!Z, AQ←Meadow!AC, AR←Meadow!AD, AV←Meadow!AE, AV(growth)←Meadow!F</t>
  </si>
  <si>
    <t xml:space="preserve">  Step 3: Event types per unit:</t>
  </si>
  <si>
    <t xml:space="preserve">    AI='Y' + has MTM in S → 'Rent Review'</t>
  </si>
  <si>
    <t xml:space="preserve">    AI='Y' + no MTM → 'Renewal'</t>
  </si>
  <si>
    <t xml:space="preserve">    AI='X' + O=1 → 'Break'</t>
  </si>
  <si>
    <t xml:space="preserve">    AI='X' + O=0 → 'Vacate'</t>
  </si>
  <si>
    <t xml:space="preserve">    Lease expiry &lt; C4 OR explicitly vacant → S='Y', AA='Vacate'</t>
  </si>
  <si>
    <t xml:space="preserve">  Step 4: Per-unit formulas — V/W/X/Y entry block, AW (NEF), AX (ERV at RR), CD/CE/CF/CG/CN, BJ (Agent Fee)</t>
  </si>
  <si>
    <t xml:space="preserve">  Step 5: Conditional inputs — Break units: N, AB-AH, BO-BX (capex). Vacant @ entry: red bold tenant name, M=99999, AW=1</t>
  </si>
  <si>
    <t xml:space="preserve">  Step 6: Subtotal row — =SUM(start:end)*F[toggle] for P, I, DC at minimum</t>
  </si>
  <si>
    <t xml:space="preserve">  Step 7: Grand total row 119 — verify P119/I119/DC119 sum the four asset subtotals</t>
  </si>
  <si>
    <t xml:space="preserve">  Step 8: GA D16/D17 ranges — update if asset block boundaries change</t>
  </si>
  <si>
    <t xml:space="preserve">  Step 9: I&amp;C row 67/68/69 ranges — every void formula references correct row range per asset</t>
  </si>
  <si>
    <t xml:space="preserve">  Step 10: Verify — toggle on/off changes IRR; D14 increases; D16 increases proportionally; DC119 increases; PCF D113 = CFO K18 exactly</t>
  </si>
  <si>
    <t>10. FINAL SANITY CHECKLIST</t>
  </si>
  <si>
    <t>[ ] All 4 asset toggles (F10:F13) work — toggling each changes IRR</t>
  </si>
  <si>
    <t>[ ] No #REF! errors anywhere</t>
  </si>
  <si>
    <t>[ ] PCF D40, D74, D113 all use H9:CH9 for dates</t>
  </si>
  <si>
    <t>[ ] CFO L17, J18, K18 match corresponding PCF cells</t>
  </si>
  <si>
    <t>[ ] All 4 asset subtotal rows use SUM × toggle for P, I, DC</t>
  </si>
  <si>
    <t>[ ] DC119 grand total = sum of 4 asset subtotals (NOT a per-unit formula)</t>
  </si>
  <si>
    <t>[ ] D17 divided by (1 + E19) — same units as D16</t>
  </si>
  <si>
    <t>[ ] BJ formula starts with IF(S="Y", 0, ...) for vacant-entry</t>
  </si>
  <si>
    <t>[ ] I14 (rates relief) feeds AS and AT correctly; I&amp;C row 67 fires from AT to CG</t>
  </si>
  <si>
    <t>[ ] All vacant-entry units have red bold tenant names with notes</t>
  </si>
  <si>
    <t>[ ] All Break units have AI = 'T' for 20% agent fee</t>
  </si>
  <si>
    <t>[ ] CS column is a formula (=IF(CP&lt;CQ,"Y","N")) not hardcoded</t>
  </si>
  <si>
    <t>[ ] Per-asset £100K contingency in DG flows with correct SUMIF ranges</t>
  </si>
  <si>
    <t>END OF GUIDE</t>
  </si>
  <si>
    <t>Sheet</t>
  </si>
  <si>
    <t>Cell</t>
  </si>
  <si>
    <t>Original_AX</t>
  </si>
  <si>
    <t>Tenancy Inputs</t>
  </si>
  <si>
    <t>WC</t>
  </si>
  <si>
    <t>AX35</t>
  </si>
  <si>
    <t>AX36</t>
  </si>
  <si>
    <t>AX37</t>
  </si>
  <si>
    <t>AX38</t>
  </si>
  <si>
    <t>AX39</t>
  </si>
  <si>
    <t>AX40</t>
  </si>
  <si>
    <t>AX41</t>
  </si>
  <si>
    <t>AX42</t>
  </si>
  <si>
    <t>AX43</t>
  </si>
  <si>
    <t>AX44</t>
  </si>
  <si>
    <t>AX45</t>
  </si>
  <si>
    <t>AX46</t>
  </si>
  <si>
    <t>AX47</t>
  </si>
  <si>
    <t>AX48</t>
  </si>
  <si>
    <t>AX49</t>
  </si>
  <si>
    <t>AX50</t>
  </si>
  <si>
    <t>AX51</t>
  </si>
  <si>
    <t>AX52</t>
  </si>
  <si>
    <t>AX53</t>
  </si>
  <si>
    <t>AX62</t>
  </si>
  <si>
    <t>AX63</t>
  </si>
  <si>
    <t>AX64</t>
  </si>
  <si>
    <t>AX65</t>
  </si>
  <si>
    <t>AX66</t>
  </si>
  <si>
    <t>AX67</t>
  </si>
  <si>
    <t>AX68</t>
  </si>
  <si>
    <t>AX76</t>
  </si>
  <si>
    <t>AX77</t>
  </si>
  <si>
    <t>AX78</t>
  </si>
  <si>
    <t>AX79</t>
  </si>
  <si>
    <t>AX80</t>
  </si>
  <si>
    <t>AX81</t>
  </si>
  <si>
    <t>AX82</t>
  </si>
  <si>
    <t>AX90</t>
  </si>
  <si>
    <t>AX91</t>
  </si>
  <si>
    <t>AX92</t>
  </si>
  <si>
    <t>AX93</t>
  </si>
  <si>
    <t>AX94</t>
  </si>
  <si>
    <t>AX95</t>
  </si>
  <si>
    <t>AX96</t>
  </si>
  <si>
    <t>AX97</t>
  </si>
  <si>
    <t>AX98</t>
  </si>
  <si>
    <t>AX99</t>
  </si>
  <si>
    <t>AX100</t>
  </si>
  <si>
    <t>AX101</t>
  </si>
  <si>
    <t>AX102</t>
  </si>
  <si>
    <t>AX103</t>
  </si>
  <si>
    <t>AX104</t>
  </si>
  <si>
    <t>AX105</t>
  </si>
  <si>
    <t>AX106</t>
  </si>
  <si>
    <t>AX107</t>
  </si>
  <si>
    <t>AX108</t>
  </si>
  <si>
    <t>AX109</t>
  </si>
  <si>
    <t>AX110</t>
  </si>
  <si>
    <t>AX111</t>
  </si>
  <si>
    <t>AX112</t>
  </si>
  <si>
    <t>AX113</t>
  </si>
  <si>
    <t>AX121</t>
  </si>
  <si>
    <t>AX122</t>
  </si>
  <si>
    <t>AX123</t>
  </si>
  <si>
    <t>AX124</t>
  </si>
  <si>
    <t>AX125</t>
  </si>
  <si>
    <t>AX126</t>
  </si>
  <si>
    <t>AX127</t>
  </si>
  <si>
    <t>AX128</t>
  </si>
  <si>
    <t>AX129</t>
  </si>
  <si>
    <t>AX130</t>
  </si>
  <si>
    <t>AX131</t>
  </si>
  <si>
    <t>AX132</t>
  </si>
  <si>
    <t>AX133</t>
  </si>
  <si>
    <t>AX134</t>
  </si>
  <si>
    <t>AX135</t>
  </si>
  <si>
    <t>AX136</t>
  </si>
  <si>
    <t>AX137</t>
  </si>
  <si>
    <t>AX138</t>
  </si>
  <si>
    <t>AX139</t>
  </si>
  <si>
    <t>AX140</t>
  </si>
  <si>
    <t>AX141</t>
  </si>
  <si>
    <t>AX142</t>
  </si>
  <si>
    <t>AX143</t>
  </si>
  <si>
    <t>AX144</t>
  </si>
  <si>
    <t>AX145</t>
  </si>
  <si>
    <t>AX146</t>
  </si>
  <si>
    <t>AX147</t>
  </si>
  <si>
    <t>AX148</t>
  </si>
  <si>
    <t>AX161</t>
  </si>
  <si>
    <t>AX162</t>
  </si>
  <si>
    <t>AX163</t>
  </si>
  <si>
    <t>AX164</t>
  </si>
  <si>
    <t>AX165</t>
  </si>
  <si>
    <t>AX166</t>
  </si>
  <si>
    <t>AX167</t>
  </si>
  <si>
    <t>AX168</t>
  </si>
  <si>
    <t>AX169</t>
  </si>
  <si>
    <t>AX170</t>
  </si>
  <si>
    <t>AX171</t>
  </si>
  <si>
    <t>AX172</t>
  </si>
  <si>
    <t>AX173</t>
  </si>
  <si>
    <t>AX174</t>
  </si>
  <si>
    <t>AX175</t>
  </si>
  <si>
    <t>AX176</t>
  </si>
  <si>
    <t>AX177</t>
  </si>
  <si>
    <t>AX178</t>
  </si>
  <si>
    <t>AX179</t>
  </si>
  <si>
    <t>AX180</t>
  </si>
  <si>
    <t>AX181</t>
  </si>
  <si>
    <t>AX182</t>
  </si>
  <si>
    <t>AX183</t>
  </si>
  <si>
    <t>AX184</t>
  </si>
  <si>
    <t>AX185</t>
  </si>
  <si>
    <t>AX186</t>
  </si>
  <si>
    <t>AX187</t>
  </si>
  <si>
    <t>AX188</t>
  </si>
  <si>
    <t>AX189</t>
  </si>
  <si>
    <t>AX190</t>
  </si>
  <si>
    <t>AX191</t>
  </si>
  <si>
    <t>AX192</t>
  </si>
  <si>
    <t>AX193</t>
  </si>
  <si>
    <t>AX194</t>
  </si>
  <si>
    <t>AX195</t>
  </si>
  <si>
    <t>AX196</t>
  </si>
  <si>
    <t>AX197</t>
  </si>
  <si>
    <t>AX198</t>
  </si>
  <si>
    <t>AX199</t>
  </si>
  <si>
    <t>AX200</t>
  </si>
  <si>
    <t>AX201</t>
  </si>
  <si>
    <t>AX202</t>
  </si>
  <si>
    <t>AX203</t>
  </si>
  <si>
    <t>AX204</t>
  </si>
  <si>
    <t>AX205</t>
  </si>
  <si>
    <t>AX206</t>
  </si>
  <si>
    <t>AX207</t>
  </si>
  <si>
    <t>AX208</t>
  </si>
  <si>
    <t>AX209</t>
  </si>
  <si>
    <t>AX210</t>
  </si>
  <si>
    <t>AX211</t>
  </si>
  <si>
    <t>AX212</t>
  </si>
  <si>
    <t>AX213</t>
  </si>
  <si>
    <t>AX214</t>
  </si>
  <si>
    <t>AX215</t>
  </si>
  <si>
    <t>AX216</t>
  </si>
  <si>
    <t>AX217</t>
  </si>
  <si>
    <t>AX218</t>
  </si>
  <si>
    <t>AX219</t>
  </si>
  <si>
    <t>AX220</t>
  </si>
  <si>
    <t>AX221</t>
  </si>
  <si>
    <t>AX222</t>
  </si>
  <si>
    <t>AX223</t>
  </si>
  <si>
    <t>AX224</t>
  </si>
  <si>
    <t>AX225</t>
  </si>
  <si>
    <t>AX226</t>
  </si>
  <si>
    <t>AX227</t>
  </si>
  <si>
    <t>Cell ref</t>
  </si>
  <si>
    <t>Label</t>
  </si>
  <si>
    <t>Original value</t>
  </si>
  <si>
    <t>Original formula</t>
  </si>
  <si>
    <t>Backup taken (UTC)</t>
  </si>
  <si>
    <t>D76</t>
  </si>
  <si>
    <t>2026-05-20T09:42:21.671Z</t>
  </si>
  <si>
    <t>D78</t>
  </si>
  <si>
    <t>D142</t>
  </si>
  <si>
    <t>Tax Scenario</t>
  </si>
  <si>
    <t>UK SPV</t>
  </si>
  <si>
    <t>D152</t>
  </si>
  <si>
    <t>REIT WHT Rate</t>
  </si>
  <si>
    <t>D108</t>
  </si>
  <si>
    <t>D131</t>
  </si>
  <si>
    <t>SPV Running Cost (annual)</t>
  </si>
  <si>
    <t>D111</t>
  </si>
  <si>
    <t>Total Acquisition Cost (formula)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</si>
</sst>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164" formatCode="_ * #,##0.00_ ;_ * \-#,##0.00_ ;_ * \-??_ ;_ @_ "/>
    <numFmt numFmtId="165" formatCode="#,##0.00_);[Red]\(#,##0.00\)"/>
    <numFmt numFmtId="166" formatCode="General\A_)"/>
    <numFmt numFmtId="167" formatCode="* \£#,##0_);&quot;(£&quot;#,##0\);* \-_);* @_)"/>
    <numFmt numFmtId="168" formatCode="* 0.0\x_);* \(0.0&quot;x)&quot;;* \-_);* @_x_)"/>
    <numFmt numFmtId="169" formatCode="* #,##0.0_);* \(#,##0.0\);\ * \-_);\ * @_)"/>
    <numFmt numFmtId="170" formatCode="* #,##0.0%_);* \(#,##0.0%\)"/>
    <numFmt numFmtId="171" formatCode="_-@_-"/>
    <numFmt numFmtId="172" formatCode="_(* #,##0.00_);_(* \(#,##0.00\);_(* \-??_);_(@_)"/>
    <numFmt numFmtId="173" formatCode="_ * #,##0_ ;_ * \-#,##0_ ;_ * \-_ ;_ @_ "/>
    <numFmt numFmtId="174" formatCode="_(* #,##0_);_(* \(#,##0\);_(* \-_);_(@_)"/>
    <numFmt numFmtId="175" formatCode="_-* #,##0.00\ _k_r_._-;\-* #,##0.00\ _k_r_._-;_-* \-??\ _k_r_._-;_-@_-"/>
    <numFmt numFmtId="176" formatCode="_ * #,##0_)_ ;_ * \(#,##0\)_ ;_ * \-_)_ ;_ @_ "/>
    <numFmt numFmtId="177" formatCode="\ #,##0.0_);&quot; (&quot;#,##0.0\)"/>
    <numFmt numFmtId="178" formatCode="_(\$* #,##0.00_);_(\$* \(#,##0.00\);_(\$* \-??_);_(@_)"/>
    <numFmt numFmtId="179" formatCode="#,##0;\(#,##0\);\-"/>
    <numFmt numFmtId="180" formatCode="#,##0.0_);\(#,##0.0\)"/>
    <numFmt numFmtId="181" formatCode="#,##0.0;\(#,##0.0\);\-"/>
    <numFmt numFmtId="182" formatCode="_-* #,##0.00\ _k_r_-;\-* #,##0.00\ _k_r_-;_-* \-??\ _k_r_-;_-@_-"/>
    <numFmt numFmtId="183" formatCode="0.0\x_);\(0.0&quot;)x&quot;"/>
    <numFmt numFmtId="184" formatCode="_(* #,##0_);_(* \(#,##0\);_(* \-_);@_)"/>
    <numFmt numFmtId="185" formatCode="0.0%;\(0.0\)%;\-"/>
    <numFmt numFmtId="186" formatCode="0%_);\(0%\)"/>
    <numFmt numFmtId="187" formatCode="0.0"/>
    <numFmt numFmtId="192" formatCode="m/d/yyyy"/>
    <numFmt numFmtId="194" formatCode="0.0&quot; yrs&quot;"/>
    <numFmt numFmtId="196" formatCode="#,##0.0"/>
    <numFmt numFmtId="197" formatCode="0.00\x"/>
    <numFmt numFmtId="199" formatCode="d\-mmm\-yy"/>
    <numFmt numFmtId="201" formatCode="#,##0.00&quot; acres&quot;"/>
    <numFmt numFmtId="202" formatCode="#,##0&quot; sqft&quot;"/>
    <numFmt numFmtId="203" formatCode="\£#,##0&quot; psf&quot;"/>
    <numFmt numFmtId="204" formatCode="\£#,##0.0&quot; M&quot;;&quot;(£&quot;#,##0.0&quot; M)&quot;;\-"/>
    <numFmt numFmtId="205" formatCode="0.00%;\(0.00%\);\-"/>
    <numFmt numFmtId="206" formatCode="\£#,##0;&quot;(£&quot;#,##0\);\-"/>
    <numFmt numFmtId="207" formatCode="0.0%;\(0.0%\);\-"/>
    <numFmt numFmtId="208" formatCode="#,##0&quot; £ psf&quot;"/>
    <numFmt numFmtId="209" formatCode="\£#,##0.00&quot; M&quot;;&quot;(£&quot;#,##0.00&quot; M)&quot;;\-"/>
    <numFmt numFmtId="210" formatCode="&quot;(£&quot;#,##0&quot; psf)&quot;"/>
    <numFmt numFmtId="211" formatCode="\£#,##0.0&quot; M&quot;"/>
    <numFmt numFmtId="213" formatCode="\£#,##0"/>
    <numFmt numFmtId="229" formatCode="\£#,##0.00"/>
  </numFmts>
  <fonts count="76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0"/>
      <name val="MS Sans Serif"/>
      <family val="2"/>
      <charset val="1"/>
    </font>
    <font>
      <sz val="11"/>
      <color theme="0"/>
      <name val="Calibri"/>
      <family val="2"/>
      <charset val="1"/>
    </font>
    <font>
      <sz val="8"/>
      <name val="TradeGothic"/>
      <charset val="1"/>
    </font>
    <font>
      <sz val="11"/>
      <color rgb="FFFF0000"/>
      <name val="Calibri"/>
      <family val="2"/>
      <charset val="1"/>
    </font>
    <font>
      <sz val="9"/>
      <color rgb="FF9C0006"/>
      <name val="Arial"/>
      <family val="2"/>
      <charset val="1"/>
    </font>
    <font>
      <sz val="10"/>
      <name val="Arial"/>
      <family val="2"/>
      <charset val="1"/>
    </font>
    <font>
      <b/>
      <sz val="11"/>
      <color rgb="FFFA7D00"/>
      <name val="Calibri"/>
      <family val="2"/>
      <charset val="1"/>
    </font>
    <font>
      <sz val="10"/>
      <color theme="1"/>
      <name val="Times New Roman"/>
      <family val="1"/>
      <charset val="1"/>
    </font>
    <font>
      <u/>
      <sz val="10"/>
      <color theme="1"/>
      <name val="Times New Roman"/>
      <family val="1"/>
      <charset val="1"/>
    </font>
    <font>
      <b/>
      <sz val="9"/>
      <color rgb="FFFA7D00"/>
      <name val="Arial"/>
      <family val="2"/>
      <charset val="1"/>
    </font>
    <font>
      <b/>
      <sz val="9"/>
      <color theme="0"/>
      <name val="Calibri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Verdana"/>
      <family val="2"/>
      <charset val="1"/>
    </font>
    <font>
      <sz val="12"/>
      <name val="Village-Roman"/>
      <charset val="1"/>
    </font>
    <font>
      <b/>
      <sz val="8"/>
      <color rgb="FF0000FF"/>
      <name val="TradeGothic"/>
      <charset val="1"/>
    </font>
    <font>
      <i/>
      <sz val="9"/>
      <color rgb="FF7F7F7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TradeGothic"/>
      <charset val="1"/>
    </font>
    <font>
      <sz val="11"/>
      <color rgb="FF006100"/>
      <name val="Calibri"/>
      <family val="2"/>
      <charset val="1"/>
    </font>
    <font>
      <sz val="9"/>
      <color rgb="FF006100"/>
      <name val="Arial"/>
      <family val="2"/>
      <charset val="1"/>
    </font>
    <font>
      <b/>
      <sz val="9"/>
      <color theme="3"/>
      <name val="Arial"/>
      <family val="2"/>
      <charset val="1"/>
    </font>
    <font>
      <b/>
      <sz val="9"/>
      <color theme="3"/>
      <name val="Cambria"/>
      <family val="2"/>
      <charset val="1"/>
    </font>
    <font>
      <sz val="9"/>
      <color theme="3"/>
      <name val="Cambria"/>
      <family val="2"/>
      <charset val="1"/>
    </font>
    <font>
      <u/>
      <sz val="8"/>
      <color theme="10"/>
      <name val="TradeGothic"/>
      <charset val="1"/>
    </font>
    <font>
      <u/>
      <sz val="11"/>
      <color theme="10"/>
      <name val="Calibri"/>
      <family val="2"/>
      <charset val="1"/>
    </font>
    <font>
      <sz val="9"/>
      <color rgb="FF3F3F76"/>
      <name val="Calibri"/>
      <family val="2"/>
      <charset val="1"/>
    </font>
    <font>
      <sz val="10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9"/>
      <color rgb="FFFA7D00"/>
      <name val="Calibri"/>
      <family val="2"/>
      <charset val="1"/>
    </font>
    <font>
      <sz val="9"/>
      <color rgb="FF9C6500"/>
      <name val="Arial"/>
      <family val="2"/>
      <charset val="1"/>
    </font>
    <font>
      <sz val="9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Arial"/>
      <family val="2"/>
      <charset val="1"/>
    </font>
    <font>
      <sz val="11"/>
      <name val="DaneSerifaLight"/>
      <family val="2"/>
      <charset val="1"/>
    </font>
    <font>
      <sz val="11"/>
      <name val="Aptos Narrow"/>
      <family val="2"/>
      <charset val="1"/>
    </font>
    <font>
      <sz val="10"/>
      <color rgb="FF000000"/>
      <name val="Arial"/>
      <family val="2"/>
      <charset val="1"/>
    </font>
    <font>
      <sz val="10"/>
      <name val="Verdana"/>
      <family val="2"/>
      <charset val="1"/>
    </font>
    <font>
      <sz val="11"/>
      <color theme="1"/>
      <name val="Verdana"/>
      <family val="2"/>
      <charset val="1"/>
    </font>
    <font>
      <sz val="8"/>
      <name val="Arial"/>
      <family val="2"/>
      <charset val="1"/>
    </font>
    <font>
      <sz val="12"/>
      <color theme="1"/>
      <name val="Calibri"/>
      <family val="2"/>
      <charset val="1"/>
    </font>
    <font>
      <sz val="8"/>
      <color theme="1"/>
      <name val="TradeGothic"/>
      <charset val="1"/>
    </font>
    <font>
      <sz val="7"/>
      <color theme="1"/>
      <name val="Verdana"/>
      <family val="2"/>
      <charset val="1"/>
    </font>
    <font>
      <sz val="10"/>
      <color rgb="FF595959"/>
      <name val="Arial"/>
      <family val="2"/>
      <charset val="1"/>
    </font>
    <font>
      <b/>
      <sz val="9"/>
      <color rgb="FF3F3F3F"/>
      <name val="Calibri"/>
      <family val="2"/>
      <charset val="1"/>
    </font>
    <font>
      <b/>
      <sz val="15"/>
      <color theme="3"/>
      <name val="Calibri"/>
      <family val="2"/>
      <charset val="1"/>
    </font>
    <font>
      <b/>
      <sz val="13"/>
      <color theme="3"/>
      <name val="Calibri"/>
      <family val="2"/>
      <charset val="1"/>
    </font>
    <font>
      <b/>
      <sz val="11"/>
      <color theme="3"/>
      <name val="Calibri"/>
      <family val="2"/>
      <charset val="1"/>
    </font>
    <font>
      <sz val="11"/>
      <color rgb="FFFA7D00"/>
      <name val="Calibri"/>
      <family val="2"/>
      <charset val="1"/>
    </font>
    <font>
      <b/>
      <sz val="9"/>
      <color theme="4"/>
      <name val="Calibri"/>
      <family val="2"/>
      <charset val="1"/>
    </font>
    <font>
      <sz val="8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1"/>
      <color theme="4"/>
      <name val="Calibri"/>
      <family val="2"/>
      <charset val="1"/>
    </font>
    <font>
      <sz val="18"/>
      <color theme="3"/>
      <name val="Cambria"/>
      <family val="2"/>
      <charset val="1"/>
    </font>
    <font>
      <b/>
      <sz val="11"/>
      <color theme="3"/>
      <name val="Cambria"/>
      <family val="2"/>
      <charset val="1"/>
    </font>
    <font>
      <b/>
      <sz val="9"/>
      <color theme="1"/>
      <name val="Cambria"/>
      <family val="2"/>
      <charset val="1"/>
    </font>
    <font>
      <sz val="11"/>
      <color rgb="FF9C0006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name val="Cambria"/>
      <family val="1"/>
      <charset val="1"/>
    </font>
    <font>
      <sz val="10"/>
      <color rgb="FF000000"/>
      <name val="Open Sans"/>
      <family val="2"/>
      <charset val="1"/>
    </font>
    <font>
      <b/>
      <sz val="10"/>
      <color rgb="FF000000"/>
      <name val="Open Sans"/>
      <family val="2"/>
      <charset val="1"/>
    </font>
    <font>
      <sz val="10"/>
      <color rgb="FF00B050"/>
      <name val="Open Sans"/>
      <family val="2"/>
      <charset val="1"/>
    </font>
    <font>
      <b/>
      <sz val="11"/>
      <name val="Cambria"/>
      <family val="1"/>
      <charset val="1"/>
    </font>
    <font>
      <b/>
      <sz val="10"/>
      <color rgb="FFFFFFFF"/>
      <name val="Open Sans"/>
      <family val="2"/>
      <charset val="1"/>
    </font>
    <font>
      <i/>
      <sz val="9"/>
      <color rgb="FF595959"/>
      <name val="Open Sans"/>
      <family val="2"/>
      <charset val="1"/>
    </font>
    <font>
      <sz val="10"/>
      <color rgb="FF0070C0"/>
      <name val="Open Sans"/>
      <family val="2"/>
      <charset val="1"/>
    </font>
    <font>
      <i/>
      <sz val="11"/>
      <name val="Cambria"/>
      <family val="1"/>
      <charset val="1"/>
    </font>
    <font>
      <sz val="11"/>
      <color rgb="FF0000FF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rgb="FFC00000"/>
      <name val="Calibri"/>
      <family val="2"/>
      <charset val="1"/>
    </font>
    <font>
      <sz val="11"/>
      <color theme="1"/>
      <name val="Calibri"/>
      <family val="2"/>
      <charset val="1"/>
    </font>
  </fonts>
  <fills count="43">
    <fill>
      <patternFill patternType="none"/>
    </fill>
    <fill>
      <patternFill patternType="gray125"/>
    </fill>
    <fill>
      <patternFill patternType="solid">
        <fgColor theme="4" tint="0.79979857783745845"/>
        <bgColor rgb="FFD6E4F0"/>
      </patternFill>
    </fill>
    <fill>
      <patternFill patternType="solid">
        <fgColor theme="5" tint="0.79979857783745845"/>
        <bgColor rgb="FFFCE4EC"/>
      </patternFill>
    </fill>
    <fill>
      <patternFill patternType="solid">
        <fgColor theme="6" tint="0.79979857783745845"/>
        <bgColor rgb="FFF2F2F2"/>
      </patternFill>
    </fill>
    <fill>
      <patternFill patternType="solid">
        <fgColor theme="7" tint="0.79979857783745845"/>
        <bgColor rgb="FFD9E2F1"/>
      </patternFill>
    </fill>
    <fill>
      <patternFill patternType="solid">
        <fgColor theme="8" tint="0.79979857783745845"/>
        <bgColor rgb="FFDEEBF7"/>
      </patternFill>
    </fill>
    <fill>
      <patternFill patternType="solid">
        <fgColor theme="9" tint="0.79979857783745845"/>
        <bgColor rgb="FFFCE4EC"/>
      </patternFill>
    </fill>
    <fill>
      <patternFill patternType="solid">
        <fgColor theme="4" tint="0.59959715567491678"/>
        <bgColor rgb="FFCCD9E5"/>
      </patternFill>
    </fill>
    <fill>
      <patternFill patternType="solid">
        <fgColor theme="5" tint="0.59959715567491678"/>
        <bgColor rgb="FFFECCAE"/>
      </patternFill>
    </fill>
    <fill>
      <patternFill patternType="darkGray">
        <fgColor theme="6" tint="0.59959715567491678"/>
        <bgColor rgb="FFD9DBDA"/>
      </patternFill>
    </fill>
    <fill>
      <patternFill patternType="solid">
        <fgColor theme="7" tint="0.59959715567491678"/>
        <bgColor rgb="FFD0D7E5"/>
      </patternFill>
    </fill>
    <fill>
      <patternFill patternType="solid">
        <fgColor theme="8" tint="0.59959715567491678"/>
        <bgColor rgb="FFD0D7E5"/>
      </patternFill>
    </fill>
    <fill>
      <patternFill patternType="darkGray">
        <fgColor theme="9" tint="0.59959715567491678"/>
        <bgColor rgb="FFFEE0AE"/>
      </patternFill>
    </fill>
    <fill>
      <patternFill patternType="solid">
        <fgColor theme="4" tint="0.39948728904080327"/>
        <bgColor rgb="FFA9A5AE"/>
      </patternFill>
    </fill>
    <fill>
      <patternFill patternType="solid">
        <fgColor theme="5" tint="0.39948728904080327"/>
        <bgColor rgb="FFA9A5AE"/>
      </patternFill>
    </fill>
    <fill>
      <patternFill patternType="darkGray">
        <fgColor theme="6" tint="0.39948728904080327"/>
        <bgColor rgb="FFC7CADB"/>
      </patternFill>
    </fill>
    <fill>
      <patternFill patternType="solid">
        <fgColor theme="7" tint="0.39948728904080327"/>
        <bgColor rgb="FFA9A5AE"/>
      </patternFill>
    </fill>
    <fill>
      <patternFill patternType="solid">
        <fgColor theme="8" tint="0.39948728904080327"/>
        <bgColor rgb="FFCCD9E5"/>
      </patternFill>
    </fill>
    <fill>
      <patternFill patternType="solid">
        <fgColor theme="9" tint="0.39948728904080327"/>
        <bgColor rgb="FFFECCAE"/>
      </patternFill>
    </fill>
    <fill>
      <patternFill patternType="solid">
        <fgColor rgb="FFFECCAE"/>
        <bgColor rgb="FFFED4B1"/>
      </patternFill>
    </fill>
    <fill>
      <patternFill patternType="solid">
        <fgColor rgb="FFFFFFCC"/>
        <bgColor rgb="FFFFFFDD"/>
      </patternFill>
    </fill>
    <fill>
      <patternFill patternType="solid">
        <fgColor rgb="FFF2F2F2"/>
        <bgColor rgb="FFF2F4F8"/>
      </patternFill>
    </fill>
    <fill>
      <patternFill patternType="solid">
        <fgColor rgb="FFA9A5AE"/>
        <bgColor rgb="FFABA8C9"/>
      </patternFill>
    </fill>
    <fill>
      <patternFill patternType="solid">
        <fgColor rgb="FFD0D7E5"/>
        <bgColor rgb="FFCCD9E5"/>
      </patternFill>
    </fill>
    <fill>
      <patternFill patternType="darkGray">
        <fgColor theme="5"/>
        <bgColor rgb="FF796394"/>
      </patternFill>
    </fill>
    <fill>
      <patternFill patternType="solid">
        <fgColor theme="4"/>
        <bgColor rgb="FF1A78BC"/>
      </patternFill>
    </fill>
    <fill>
      <patternFill patternType="solid">
        <fgColor theme="6"/>
        <bgColor rgb="FFA9A5AE"/>
      </patternFill>
    </fill>
    <fill>
      <patternFill patternType="solid">
        <fgColor theme="7"/>
        <bgColor rgb="FF67636B"/>
      </patternFill>
    </fill>
    <fill>
      <patternFill patternType="darkGray">
        <fgColor theme="8"/>
        <bgColor rgb="FF4F81BD"/>
      </patternFill>
    </fill>
    <fill>
      <patternFill patternType="darkGray">
        <fgColor theme="9"/>
        <bgColor rgb="FFFA7D00"/>
      </patternFill>
    </fill>
    <fill>
      <patternFill patternType="mediumGray">
        <fgColor rgb="FFB10302"/>
        <bgColor rgb="FFA1581C"/>
      </patternFill>
    </fill>
    <fill>
      <patternFill patternType="solid">
        <fgColor rgb="FFD4E0BE"/>
        <bgColor rgb="FFD9DBDA"/>
      </patternFill>
    </fill>
    <fill>
      <patternFill patternType="mediumGray">
        <fgColor rgb="FFFED4B1"/>
        <bgColor rgb="FFFECCAE"/>
      </patternFill>
    </fill>
    <fill>
      <patternFill patternType="solid">
        <fgColor rgb="FFFFFFFF"/>
        <bgColor rgb="FFFFFFDD"/>
      </patternFill>
    </fill>
    <fill>
      <patternFill patternType="solid">
        <fgColor rgb="FFFEE0AE"/>
        <bgColor rgb="FFFED4B1"/>
      </patternFill>
    </fill>
    <fill>
      <patternFill patternType="solid">
        <fgColor theme="0" tint="-0.499984740745262"/>
        <bgColor rgb="FF796394"/>
      </patternFill>
    </fill>
    <fill>
      <patternFill patternType="solid">
        <fgColor rgb="FFEBF1DF"/>
        <bgColor rgb="FFF2F2F2"/>
      </patternFill>
    </fill>
    <fill>
      <patternFill patternType="solid">
        <fgColor rgb="FF1F3864"/>
        <bgColor rgb="FF274064"/>
      </patternFill>
    </fill>
    <fill>
      <patternFill patternType="solid">
        <fgColor rgb="FFFFFF00"/>
        <bgColor rgb="FFFEE0AE"/>
      </patternFill>
    </fill>
    <fill>
      <patternFill patternType="solid">
        <fgColor rgb="FFDEEBF7"/>
        <bgColor rgb="FFDBEEF4"/>
      </patternFill>
    </fill>
    <fill>
      <patternFill patternType="solid">
        <fgColor rgb="FFD9E2F1"/>
        <bgColor rgb="FFD6E4F0"/>
      </patternFill>
    </fill>
    <fill>
      <patternFill patternType="solid">
        <fgColor rgb="FF1F4E79"/>
        <bgColor rgb="FF1F4E78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ABA8C9"/>
      </left>
      <right style="thin">
        <color rgb="FFABA8C9"/>
      </right>
      <top style="thin">
        <color rgb="FFABA8C9"/>
      </top>
      <bottom style="thin">
        <color rgb="FFABA8C9"/>
      </bottom>
      <diagonal/>
    </border>
    <border>
      <left style="thin">
        <color rgb="FF807F82"/>
      </left>
      <right style="thin">
        <color rgb="FF807F82"/>
      </right>
      <top style="thin">
        <color rgb="FF807F82"/>
      </top>
      <bottom style="thin">
        <color rgb="FF807F82"/>
      </bottom>
      <diagonal/>
    </border>
    <border>
      <left style="double">
        <color rgb="FF343434"/>
      </left>
      <right style="double">
        <color rgb="FF343434"/>
      </right>
      <top style="double">
        <color rgb="FF343434"/>
      </top>
      <bottom style="double">
        <color rgb="FF34343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/>
      <bottom style="double">
        <color rgb="FFFA7D00"/>
      </bottom>
      <diagonal/>
    </border>
    <border>
      <left style="thin">
        <color rgb="FF343434"/>
      </left>
      <right style="thin">
        <color rgb="FF343434"/>
      </right>
      <top style="thin">
        <color rgb="FF343434"/>
      </top>
      <bottom style="thin">
        <color rgb="FF34343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49644459364606"/>
      </bottom>
      <diagonal/>
    </border>
    <border>
      <left/>
      <right/>
      <top/>
      <bottom style="medium">
        <color theme="4" tint="0.39948728904080327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thick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auto="1"/>
      </top>
      <bottom/>
      <diagonal/>
    </border>
  </borders>
  <cellStyleXfs count="310">
    <xf numFmtId="0" fontId="0" fillId="0" borderId="0"/>
    <xf numFmtId="164" fontId="1" fillId="0" borderId="0"/>
    <xf numFmtId="164" fontId="1" fillId="0" borderId="0"/>
    <xf numFmtId="165" fontId="2" fillId="0" borderId="0"/>
    <xf numFmtId="0" fontId="75" fillId="2" borderId="0"/>
    <xf numFmtId="0" fontId="75" fillId="3" borderId="0"/>
    <xf numFmtId="0" fontId="75" fillId="4" borderId="0"/>
    <xf numFmtId="0" fontId="75" fillId="5" borderId="0"/>
    <xf numFmtId="0" fontId="75" fillId="6" borderId="0"/>
    <xf numFmtId="0" fontId="75" fillId="7" borderId="0"/>
    <xf numFmtId="0" fontId="75" fillId="8" borderId="0"/>
    <xf numFmtId="0" fontId="75" fillId="9" borderId="0"/>
    <xf numFmtId="0" fontId="75" fillId="10" borderId="0"/>
    <xf numFmtId="0" fontId="75" fillId="11" borderId="0"/>
    <xf numFmtId="0" fontId="75" fillId="12" borderId="0"/>
    <xf numFmtId="0" fontId="75" fillId="13" borderId="0"/>
    <xf numFmtId="0" fontId="3" fillId="14" borderId="0"/>
    <xf numFmtId="0" fontId="3" fillId="15" borderId="0"/>
    <xf numFmtId="0" fontId="3" fillId="16" borderId="0"/>
    <xf numFmtId="0" fontId="3" fillId="17" borderId="0"/>
    <xf numFmtId="0" fontId="3" fillId="18" borderId="0"/>
    <xf numFmtId="0" fontId="3" fillId="19" borderId="0"/>
    <xf numFmtId="166" fontId="4" fillId="0" borderId="0">
      <alignment vertical="center"/>
    </xf>
    <xf numFmtId="0" fontId="5" fillId="0" borderId="0"/>
    <xf numFmtId="0" fontId="6" fillId="20" borderId="0"/>
    <xf numFmtId="3" fontId="7" fillId="0" borderId="1"/>
    <xf numFmtId="0" fontId="75" fillId="21" borderId="2"/>
    <xf numFmtId="0" fontId="8" fillId="22" borderId="3"/>
    <xf numFmtId="167" fontId="9" fillId="0" borderId="0"/>
    <xf numFmtId="168" fontId="9" fillId="0" borderId="0"/>
    <xf numFmtId="169" fontId="9" fillId="0" borderId="0"/>
    <xf numFmtId="170" fontId="9" fillId="0" borderId="0"/>
    <xf numFmtId="171" fontId="10" fillId="0" borderId="0">
      <alignment horizontal="left"/>
    </xf>
    <xf numFmtId="0" fontId="11" fillId="22" borderId="3"/>
    <xf numFmtId="0" fontId="12" fillId="23" borderId="4"/>
    <xf numFmtId="172" fontId="13" fillId="0" borderId="0"/>
    <xf numFmtId="172" fontId="13" fillId="0" borderId="0"/>
    <xf numFmtId="172" fontId="75" fillId="0" borderId="0"/>
    <xf numFmtId="172" fontId="7" fillId="0" borderId="0"/>
    <xf numFmtId="172" fontId="75" fillId="0" borderId="0"/>
    <xf numFmtId="173" fontId="7" fillId="0" borderId="0"/>
    <xf numFmtId="164" fontId="14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" fillId="0" borderId="0"/>
    <xf numFmtId="172" fontId="7" fillId="0" borderId="0"/>
    <xf numFmtId="172" fontId="7" fillId="0" borderId="0"/>
    <xf numFmtId="172" fontId="75" fillId="0" borderId="0"/>
    <xf numFmtId="172" fontId="75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4" fontId="7" fillId="0" borderId="0"/>
    <xf numFmtId="174" fontId="7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64" fontId="7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72" fontId="75" fillId="0" borderId="0"/>
    <xf numFmtId="164" fontId="7" fillId="0" borderId="0"/>
    <xf numFmtId="164" fontId="14" fillId="0" borderId="0"/>
    <xf numFmtId="164" fontId="7" fillId="0" borderId="0"/>
    <xf numFmtId="164" fontId="7" fillId="0" borderId="0"/>
    <xf numFmtId="164" fontId="14" fillId="0" borderId="0"/>
    <xf numFmtId="172" fontId="75" fillId="0" borderId="0"/>
    <xf numFmtId="172" fontId="75" fillId="0" borderId="0"/>
    <xf numFmtId="164" fontId="7" fillId="0" borderId="0"/>
    <xf numFmtId="172" fontId="75" fillId="0" borderId="0"/>
    <xf numFmtId="172" fontId="7" fillId="0" borderId="0"/>
    <xf numFmtId="172" fontId="7" fillId="0" borderId="0"/>
    <xf numFmtId="172" fontId="75" fillId="0" borderId="0"/>
    <xf numFmtId="164" fontId="75" fillId="0" borderId="0"/>
    <xf numFmtId="164" fontId="75" fillId="0" borderId="0"/>
    <xf numFmtId="175" fontId="75" fillId="0" borderId="0"/>
    <xf numFmtId="175" fontId="75" fillId="0" borderId="0"/>
    <xf numFmtId="175" fontId="75" fillId="0" borderId="0"/>
    <xf numFmtId="176" fontId="75" fillId="0" borderId="0"/>
    <xf numFmtId="177" fontId="15" fillId="24" borderId="0">
      <alignment vertical="center"/>
    </xf>
    <xf numFmtId="178" fontId="75" fillId="0" borderId="0"/>
    <xf numFmtId="178" fontId="75" fillId="0" borderId="0"/>
    <xf numFmtId="178" fontId="75" fillId="0" borderId="0"/>
    <xf numFmtId="179" fontId="16" fillId="25" borderId="5">
      <alignment horizontal="center"/>
    </xf>
    <xf numFmtId="0" fontId="17" fillId="0" borderId="0"/>
    <xf numFmtId="0" fontId="3" fillId="26" borderId="0"/>
    <xf numFmtId="0" fontId="3" fillId="25" borderId="0"/>
    <xf numFmtId="0" fontId="3" fillId="27" borderId="0"/>
    <xf numFmtId="0" fontId="3" fillId="28" borderId="0"/>
    <xf numFmtId="0" fontId="3" fillId="29" borderId="0"/>
    <xf numFmtId="0" fontId="3" fillId="30" borderId="0"/>
    <xf numFmtId="0" fontId="18" fillId="0" borderId="0"/>
    <xf numFmtId="180" fontId="19" fillId="31" borderId="0">
      <alignment vertical="center"/>
    </xf>
    <xf numFmtId="0" fontId="20" fillId="32" borderId="0"/>
    <xf numFmtId="0" fontId="21" fillId="32" borderId="0"/>
    <xf numFmtId="49" fontId="22" fillId="0" borderId="6">
      <alignment horizontal="right" wrapText="1"/>
    </xf>
    <xf numFmtId="49" fontId="23" fillId="0" borderId="0">
      <alignment wrapText="1"/>
    </xf>
    <xf numFmtId="49" fontId="24" fillId="0" borderId="7">
      <alignment horizontal="right" wrapText="1"/>
    </xf>
    <xf numFmtId="49" fontId="24" fillId="0" borderId="0">
      <alignment wrapText="1"/>
    </xf>
    <xf numFmtId="181" fontId="25" fillId="0" borderId="0"/>
    <xf numFmtId="0" fontId="26" fillId="0" borderId="0"/>
    <xf numFmtId="0" fontId="26" fillId="0" borderId="0"/>
    <xf numFmtId="0" fontId="27" fillId="33" borderId="3"/>
    <xf numFmtId="164" fontId="75" fillId="0" borderId="0"/>
    <xf numFmtId="164" fontId="7" fillId="0" borderId="0"/>
    <xf numFmtId="164" fontId="7" fillId="0" borderId="0"/>
    <xf numFmtId="164" fontId="7" fillId="0" borderId="0"/>
    <xf numFmtId="164" fontId="75" fillId="0" borderId="0"/>
    <xf numFmtId="164" fontId="7" fillId="0" borderId="0"/>
    <xf numFmtId="164" fontId="7" fillId="0" borderId="0"/>
    <xf numFmtId="164" fontId="7" fillId="0" borderId="0"/>
    <xf numFmtId="182" fontId="7" fillId="0" borderId="0"/>
    <xf numFmtId="164" fontId="75" fillId="0" borderId="0"/>
    <xf numFmtId="164" fontId="75" fillId="0" borderId="0"/>
    <xf numFmtId="164" fontId="75" fillId="0" borderId="0"/>
    <xf numFmtId="164" fontId="75" fillId="0" borderId="0"/>
    <xf numFmtId="164" fontId="75" fillId="0" borderId="0"/>
    <xf numFmtId="164" fontId="75" fillId="0" borderId="0"/>
    <xf numFmtId="164" fontId="75" fillId="0" borderId="0"/>
    <xf numFmtId="182" fontId="28" fillId="0" borderId="0"/>
    <xf numFmtId="0" fontId="29" fillId="23" borderId="4"/>
    <xf numFmtId="0" fontId="30" fillId="0" borderId="8"/>
    <xf numFmtId="0" fontId="7" fillId="0" borderId="0"/>
    <xf numFmtId="183" fontId="4" fillId="34" borderId="0">
      <alignment vertical="center"/>
    </xf>
    <xf numFmtId="0" fontId="31" fillId="35" borderId="0"/>
    <xf numFmtId="0" fontId="75" fillId="0" borderId="0"/>
    <xf numFmtId="0" fontId="75" fillId="0" borderId="0"/>
    <xf numFmtId="184" fontId="32" fillId="0" borderId="0"/>
    <xf numFmtId="0" fontId="75" fillId="0" borderId="0"/>
    <xf numFmtId="0" fontId="13" fillId="0" borderId="0"/>
    <xf numFmtId="0" fontId="33" fillId="0" borderId="0"/>
    <xf numFmtId="0" fontId="34" fillId="0" borderId="0"/>
    <xf numFmtId="0" fontId="75" fillId="0" borderId="0"/>
    <xf numFmtId="0" fontId="75" fillId="0" borderId="0"/>
    <xf numFmtId="0" fontId="7" fillId="0" borderId="0"/>
    <xf numFmtId="0" fontId="7" fillId="0" borderId="0"/>
    <xf numFmtId="0" fontId="35" fillId="0" borderId="0">
      <alignment vertical="center"/>
    </xf>
    <xf numFmtId="0" fontId="14" fillId="0" borderId="0"/>
    <xf numFmtId="0" fontId="14" fillId="0" borderId="0"/>
    <xf numFmtId="0" fontId="36" fillId="0" borderId="0"/>
    <xf numFmtId="0" fontId="75" fillId="0" borderId="0"/>
    <xf numFmtId="0" fontId="75" fillId="0" borderId="0"/>
    <xf numFmtId="0" fontId="7" fillId="0" borderId="0"/>
    <xf numFmtId="0" fontId="75" fillId="0" borderId="0"/>
    <xf numFmtId="0" fontId="37" fillId="0" borderId="0"/>
    <xf numFmtId="0" fontId="38" fillId="0" borderId="0"/>
    <xf numFmtId="0" fontId="2" fillId="0" borderId="0"/>
    <xf numFmtId="0" fontId="75" fillId="0" borderId="0"/>
    <xf numFmtId="0" fontId="7" fillId="0" borderId="0"/>
    <xf numFmtId="0" fontId="75" fillId="0" borderId="0"/>
    <xf numFmtId="0" fontId="7" fillId="0" borderId="0"/>
    <xf numFmtId="0" fontId="7" fillId="0" borderId="0"/>
    <xf numFmtId="0" fontId="39" fillId="0" borderId="0"/>
    <xf numFmtId="0" fontId="75" fillId="0" borderId="0"/>
    <xf numFmtId="0" fontId="7" fillId="0" borderId="0"/>
    <xf numFmtId="0" fontId="28" fillId="0" borderId="0"/>
    <xf numFmtId="0" fontId="40" fillId="0" borderId="0"/>
    <xf numFmtId="0" fontId="75" fillId="0" borderId="0"/>
    <xf numFmtId="0" fontId="7" fillId="0" borderId="0"/>
    <xf numFmtId="0" fontId="41" fillId="0" borderId="0"/>
    <xf numFmtId="0" fontId="7" fillId="0" borderId="0"/>
    <xf numFmtId="0" fontId="14" fillId="0" borderId="0"/>
    <xf numFmtId="0" fontId="1" fillId="0" borderId="0"/>
    <xf numFmtId="0" fontId="1" fillId="0" borderId="0"/>
    <xf numFmtId="0" fontId="75" fillId="0" borderId="0"/>
    <xf numFmtId="0" fontId="75" fillId="0" borderId="0"/>
    <xf numFmtId="0" fontId="75" fillId="0" borderId="0"/>
    <xf numFmtId="0" fontId="1" fillId="0" borderId="0"/>
    <xf numFmtId="0" fontId="7" fillId="0" borderId="0"/>
    <xf numFmtId="181" fontId="42" fillId="0" borderId="0"/>
    <xf numFmtId="0" fontId="75" fillId="0" borderId="0"/>
    <xf numFmtId="0" fontId="75" fillId="0" borderId="0"/>
    <xf numFmtId="0" fontId="75" fillId="0" borderId="0"/>
    <xf numFmtId="0" fontId="28" fillId="0" borderId="0"/>
    <xf numFmtId="0" fontId="7" fillId="0" borderId="0"/>
    <xf numFmtId="0" fontId="7" fillId="0" borderId="0"/>
    <xf numFmtId="0" fontId="7" fillId="0" borderId="0"/>
    <xf numFmtId="0" fontId="75" fillId="0" borderId="0"/>
    <xf numFmtId="0" fontId="43" fillId="0" borderId="0"/>
    <xf numFmtId="0" fontId="75" fillId="0" borderId="0"/>
    <xf numFmtId="0" fontId="75" fillId="0" borderId="0"/>
    <xf numFmtId="0" fontId="32" fillId="21" borderId="2"/>
    <xf numFmtId="4" fontId="44" fillId="0" borderId="0">
      <alignment horizontal="right" vertical="center"/>
    </xf>
    <xf numFmtId="0" fontId="45" fillId="22" borderId="9"/>
    <xf numFmtId="0" fontId="46" fillId="0" borderId="10"/>
    <xf numFmtId="0" fontId="47" fillId="0" borderId="11"/>
    <xf numFmtId="0" fontId="48" fillId="0" borderId="12"/>
    <xf numFmtId="0" fontId="48" fillId="0" borderId="0"/>
    <xf numFmtId="9" fontId="13" fillId="0" borderId="0"/>
    <xf numFmtId="9" fontId="75" fillId="0" borderId="0"/>
    <xf numFmtId="9" fontId="75" fillId="0" borderId="0"/>
    <xf numFmtId="9" fontId="75" fillId="0" borderId="0"/>
    <xf numFmtId="9" fontId="7" fillId="0" borderId="0"/>
    <xf numFmtId="9" fontId="75" fillId="0" borderId="0"/>
    <xf numFmtId="9" fontId="75" fillId="0" borderId="0"/>
    <xf numFmtId="9" fontId="75" fillId="0" borderId="0"/>
    <xf numFmtId="9" fontId="28" fillId="0" borderId="0"/>
    <xf numFmtId="9" fontId="7" fillId="0" borderId="0"/>
    <xf numFmtId="9" fontId="7" fillId="0" borderId="0"/>
    <xf numFmtId="9" fontId="14" fillId="0" borderId="0"/>
    <xf numFmtId="9" fontId="75" fillId="0" borderId="0"/>
    <xf numFmtId="9" fontId="1" fillId="0" borderId="0"/>
    <xf numFmtId="185" fontId="4" fillId="0" borderId="0"/>
    <xf numFmtId="9" fontId="43" fillId="0" borderId="0"/>
    <xf numFmtId="9" fontId="43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" fillId="0" borderId="0"/>
    <xf numFmtId="9" fontId="28" fillId="0" borderId="0"/>
    <xf numFmtId="0" fontId="33" fillId="0" borderId="0">
      <alignment horizontal="left" vertical="center"/>
    </xf>
    <xf numFmtId="0" fontId="49" fillId="0" borderId="8"/>
    <xf numFmtId="180" fontId="19" fillId="36" borderId="0">
      <alignment vertical="center"/>
    </xf>
    <xf numFmtId="184" fontId="50" fillId="0" borderId="0"/>
    <xf numFmtId="184" fontId="32" fillId="33" borderId="0"/>
    <xf numFmtId="0" fontId="32" fillId="0" borderId="0"/>
    <xf numFmtId="184" fontId="32" fillId="37" borderId="0"/>
    <xf numFmtId="186" fontId="32" fillId="0" borderId="0"/>
    <xf numFmtId="0" fontId="51" fillId="0" borderId="0"/>
    <xf numFmtId="0" fontId="50" fillId="0" borderId="6">
      <alignment horizontal="left" wrapText="1"/>
    </xf>
    <xf numFmtId="0" fontId="50" fillId="0" borderId="0">
      <alignment wrapText="1"/>
    </xf>
    <xf numFmtId="0" fontId="50" fillId="0" borderId="13">
      <alignment wrapText="1"/>
    </xf>
    <xf numFmtId="184" fontId="52" fillId="0" borderId="14"/>
    <xf numFmtId="0" fontId="53" fillId="0" borderId="0"/>
    <xf numFmtId="0" fontId="52" fillId="0" borderId="15"/>
    <xf numFmtId="0" fontId="75" fillId="0" borderId="0"/>
    <xf numFmtId="177" fontId="4" fillId="22" borderId="16">
      <alignment vertical="center"/>
    </xf>
    <xf numFmtId="0" fontId="54" fillId="0" borderId="0"/>
    <xf numFmtId="49" fontId="55" fillId="0" borderId="0"/>
    <xf numFmtId="0" fontId="56" fillId="0" borderId="15"/>
    <xf numFmtId="0" fontId="57" fillId="20" borderId="0"/>
  </cellStyleXfs>
  <cellXfs count="93">
    <xf numFmtId="0" fontId="0" fillId="0" borderId="0" xfId="0"/>
    <xf numFmtId="0" fontId="59" fillId="0" borderId="0" xfId="0" applyFont="1"/>
    <xf numFmtId="0" fontId="60" fillId="0" borderId="0" xfId="0" applyFont="1"/>
    <xf numFmtId="3" fontId="0" fillId="0" borderId="0" xfId="0" applyNumberFormat="1"/>
    <xf numFmtId="0" fontId="61" fillId="0" borderId="0" xfId="0" applyFont="1"/>
    <xf numFmtId="0" fontId="62" fillId="0" borderId="0" xfId="0" applyFont="1" applyAlignment="1">
      <alignment horizontal="left" vertical="center"/>
    </xf>
    <xf numFmtId="0" fontId="63" fillId="0" borderId="0" xfId="0" applyFont="1" applyAlignment="1">
      <alignment horizontal="left" vertical="center"/>
    </xf>
    <xf numFmtId="199" fontId="64" fillId="0" borderId="0" xfId="0" applyNumberFormat="1" applyFont="1" applyAlignment="1">
      <alignment horizontal="left" vertical="center"/>
    </xf>
    <xf numFmtId="0" fontId="65" fillId="0" borderId="0" xfId="0" applyFont="1"/>
    <xf numFmtId="10" fontId="65" fillId="0" borderId="0" xfId="0" applyNumberFormat="1" applyFont="1" applyAlignment="1">
      <alignment horizontal="center"/>
    </xf>
    <xf numFmtId="0" fontId="61" fillId="38" borderId="0" xfId="0" applyFont="1" applyFill="1"/>
    <xf numFmtId="0" fontId="66" fillId="38" borderId="0" xfId="0" applyFont="1" applyFill="1" applyAlignment="1">
      <alignment horizontal="left" vertical="center"/>
    </xf>
    <xf numFmtId="10" fontId="61" fillId="0" borderId="0" xfId="0" applyNumberFormat="1" applyFont="1"/>
    <xf numFmtId="0" fontId="63" fillId="40" borderId="0" xfId="0" applyFont="1" applyFill="1" applyAlignment="1">
      <alignment horizontal="left" vertical="center"/>
    </xf>
    <xf numFmtId="0" fontId="67" fillId="40" borderId="0" xfId="0" applyFont="1" applyFill="1" applyAlignment="1">
      <alignment horizontal="right" vertical="center"/>
    </xf>
    <xf numFmtId="0" fontId="61" fillId="40" borderId="0" xfId="0" applyFont="1" applyFill="1"/>
    <xf numFmtId="179" fontId="61" fillId="0" borderId="0" xfId="0" applyNumberFormat="1" applyFont="1"/>
    <xf numFmtId="201" fontId="68" fillId="0" borderId="0" xfId="0" applyNumberFormat="1" applyFont="1" applyAlignment="1">
      <alignment horizontal="right" vertical="center"/>
    </xf>
    <xf numFmtId="202" fontId="64" fillId="0" borderId="0" xfId="0" applyNumberFormat="1" applyFont="1" applyAlignment="1">
      <alignment horizontal="right" vertical="center"/>
    </xf>
    <xf numFmtId="10" fontId="61" fillId="39" borderId="0" xfId="0" applyNumberFormat="1" applyFont="1" applyFill="1"/>
    <xf numFmtId="49" fontId="68" fillId="0" borderId="0" xfId="0" applyNumberFormat="1" applyFont="1" applyAlignment="1">
      <alignment horizontal="right" vertical="center"/>
    </xf>
    <xf numFmtId="3" fontId="68" fillId="0" borderId="0" xfId="0" applyNumberFormat="1" applyFont="1" applyAlignment="1">
      <alignment horizontal="right" vertical="center"/>
    </xf>
    <xf numFmtId="10" fontId="65" fillId="0" borderId="0" xfId="0" applyNumberFormat="1" applyFont="1"/>
    <xf numFmtId="199" fontId="61" fillId="0" borderId="0" xfId="0" applyNumberFormat="1" applyFont="1"/>
    <xf numFmtId="9" fontId="68" fillId="0" borderId="0" xfId="0" applyNumberFormat="1" applyFont="1" applyAlignment="1">
      <alignment horizontal="right" vertical="center"/>
    </xf>
    <xf numFmtId="197" fontId="61" fillId="0" borderId="0" xfId="0" applyNumberFormat="1" applyFont="1"/>
    <xf numFmtId="194" fontId="64" fillId="0" borderId="0" xfId="0" applyNumberFormat="1" applyFont="1" applyAlignment="1">
      <alignment horizontal="right" vertical="center"/>
    </xf>
    <xf numFmtId="197" fontId="61" fillId="39" borderId="0" xfId="0" applyNumberFormat="1" applyFont="1" applyFill="1"/>
    <xf numFmtId="203" fontId="67" fillId="0" borderId="0" xfId="0" applyNumberFormat="1" applyFont="1" applyAlignment="1">
      <alignment horizontal="right" vertical="center"/>
    </xf>
    <xf numFmtId="204" fontId="64" fillId="0" borderId="0" xfId="0" applyNumberFormat="1" applyFont="1" applyAlignment="1">
      <alignment horizontal="right" vertical="center"/>
    </xf>
    <xf numFmtId="0" fontId="69" fillId="0" borderId="0" xfId="0" applyFont="1"/>
    <xf numFmtId="205" fontId="61" fillId="0" borderId="0" xfId="0" applyNumberFormat="1" applyFont="1"/>
    <xf numFmtId="206" fontId="61" fillId="0" borderId="0" xfId="0" applyNumberFormat="1" applyFont="1"/>
    <xf numFmtId="10" fontId="64" fillId="0" borderId="0" xfId="0" applyNumberFormat="1" applyFont="1" applyAlignment="1">
      <alignment horizontal="right" vertical="center"/>
    </xf>
    <xf numFmtId="207" fontId="61" fillId="0" borderId="0" xfId="0" applyNumberFormat="1" applyFont="1"/>
    <xf numFmtId="10" fontId="68" fillId="0" borderId="0" xfId="0" applyNumberFormat="1" applyFont="1" applyAlignment="1">
      <alignment horizontal="right" vertical="center"/>
    </xf>
    <xf numFmtId="208" fontId="61" fillId="0" borderId="0" xfId="0" applyNumberFormat="1" applyFont="1"/>
    <xf numFmtId="196" fontId="61" fillId="0" borderId="0" xfId="0" applyNumberFormat="1" applyFont="1"/>
    <xf numFmtId="10" fontId="61" fillId="40" borderId="0" xfId="0" applyNumberFormat="1" applyFont="1" applyFill="1"/>
    <xf numFmtId="209" fontId="64" fillId="0" borderId="0" xfId="0" applyNumberFormat="1" applyFont="1" applyAlignment="1">
      <alignment horizontal="right" vertical="center"/>
    </xf>
    <xf numFmtId="9" fontId="64" fillId="0" borderId="0" xfId="0" applyNumberFormat="1" applyFont="1" applyAlignment="1">
      <alignment horizontal="right" vertical="center"/>
    </xf>
    <xf numFmtId="10" fontId="62" fillId="0" borderId="0" xfId="0" applyNumberFormat="1" applyFont="1" applyAlignment="1">
      <alignment horizontal="left" vertical="center"/>
    </xf>
    <xf numFmtId="10" fontId="63" fillId="40" borderId="0" xfId="0" applyNumberFormat="1" applyFont="1" applyFill="1" applyAlignment="1">
      <alignment horizontal="left" vertical="center"/>
    </xf>
    <xf numFmtId="197" fontId="61" fillId="40" borderId="0" xfId="0" applyNumberFormat="1" applyFont="1" applyFill="1"/>
    <xf numFmtId="196" fontId="61" fillId="40" borderId="0" xfId="0" applyNumberFormat="1" applyFont="1" applyFill="1"/>
    <xf numFmtId="210" fontId="67" fillId="0" borderId="0" xfId="0" applyNumberFormat="1" applyFont="1" applyAlignment="1">
      <alignment horizontal="right" vertical="center"/>
    </xf>
    <xf numFmtId="10" fontId="63" fillId="0" borderId="17" xfId="0" applyNumberFormat="1" applyFont="1" applyBorder="1" applyAlignment="1">
      <alignment horizontal="left" vertical="center"/>
    </xf>
    <xf numFmtId="210" fontId="67" fillId="0" borderId="17" xfId="0" applyNumberFormat="1" applyFont="1" applyBorder="1" applyAlignment="1">
      <alignment horizontal="right" vertical="center"/>
    </xf>
    <xf numFmtId="204" fontId="63" fillId="0" borderId="17" xfId="0" applyNumberFormat="1" applyFont="1" applyBorder="1" applyAlignment="1">
      <alignment horizontal="right" vertical="center"/>
    </xf>
    <xf numFmtId="211" fontId="64" fillId="0" borderId="0" xfId="0" applyNumberFormat="1" applyFont="1" applyAlignment="1">
      <alignment horizontal="right" vertical="center"/>
    </xf>
    <xf numFmtId="203" fontId="67" fillId="0" borderId="17" xfId="0" applyNumberFormat="1" applyFont="1" applyBorder="1" applyAlignment="1">
      <alignment horizontal="right" vertical="center"/>
    </xf>
    <xf numFmtId="211" fontId="63" fillId="0" borderId="17" xfId="0" applyNumberFormat="1" applyFont="1" applyBorder="1" applyAlignment="1">
      <alignment horizontal="right" vertical="center"/>
    </xf>
    <xf numFmtId="0" fontId="64" fillId="0" borderId="0" xfId="0" applyFont="1" applyAlignment="1">
      <alignment horizontal="right" vertical="center"/>
    </xf>
    <xf numFmtId="211" fontId="68" fillId="0" borderId="0" xfId="0" applyNumberFormat="1" applyFont="1" applyAlignment="1">
      <alignment horizontal="right" vertical="center"/>
    </xf>
    <xf numFmtId="0" fontId="63" fillId="0" borderId="17" xfId="0" applyFont="1" applyBorder="1" applyAlignment="1">
      <alignment horizontal="left" vertical="center"/>
    </xf>
    <xf numFmtId="197" fontId="64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71" fillId="42" borderId="0" xfId="0" applyFont="1" applyFill="1" applyAlignment="1">
      <alignment horizontal="center" vertical="center" wrapText="1"/>
    </xf>
    <xf numFmtId="0" fontId="0" fillId="22" borderId="0" xfId="0" applyFill="1" applyAlignment="1">
      <alignment vertical="center"/>
    </xf>
    <xf numFmtId="3" fontId="70" fillId="22" borderId="0" xfId="0" applyNumberFormat="1" applyFont="1" applyFill="1" applyAlignment="1">
      <alignment horizontal="center" vertical="center"/>
    </xf>
    <xf numFmtId="192" fontId="0" fillId="22" borderId="0" xfId="0" applyNumberFormat="1" applyFill="1" applyAlignment="1">
      <alignment horizontal="left" vertical="center"/>
    </xf>
    <xf numFmtId="0" fontId="0" fillId="22" borderId="0" xfId="0" applyFill="1" applyAlignment="1">
      <alignment horizontal="center" vertical="center"/>
    </xf>
    <xf numFmtId="213" fontId="70" fillId="22" borderId="0" xfId="0" applyNumberFormat="1" applyFont="1" applyFill="1" applyAlignment="1">
      <alignment horizontal="center" vertical="center"/>
    </xf>
    <xf numFmtId="229" fontId="70" fillId="22" borderId="0" xfId="0" applyNumberFormat="1" applyFont="1" applyFill="1" applyAlignment="1">
      <alignment horizontal="center" vertical="center"/>
    </xf>
    <xf numFmtId="0" fontId="70" fillId="22" borderId="0" xfId="0" applyFont="1" applyFill="1" applyAlignment="1">
      <alignment horizontal="center" vertical="center"/>
    </xf>
    <xf numFmtId="10" fontId="70" fillId="22" borderId="0" xfId="112" applyNumberFormat="1" applyFont="1" applyFill="1" applyAlignment="1">
      <alignment horizontal="center" vertical="center"/>
    </xf>
    <xf numFmtId="9" fontId="0" fillId="22" borderId="0" xfId="0" applyNumberFormat="1" applyFill="1" applyAlignment="1">
      <alignment horizontal="center" vertical="center"/>
    </xf>
    <xf numFmtId="0" fontId="0" fillId="22" borderId="0" xfId="0" applyFill="1" applyAlignment="1">
      <alignment vertical="center" wrapText="1"/>
    </xf>
    <xf numFmtId="3" fontId="70" fillId="0" borderId="0" xfId="0" applyNumberFormat="1" applyFont="1" applyAlignment="1">
      <alignment horizontal="center" vertical="center"/>
    </xf>
    <xf numFmtId="19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92" fontId="1" fillId="0" borderId="0" xfId="0" applyNumberFormat="1" applyFont="1" applyAlignment="1">
      <alignment horizontal="left" vertical="center"/>
    </xf>
    <xf numFmtId="213" fontId="70" fillId="0" borderId="0" xfId="0" applyNumberFormat="1" applyFont="1" applyAlignment="1">
      <alignment horizontal="center" vertical="center"/>
    </xf>
    <xf numFmtId="229" fontId="70" fillId="0" borderId="0" xfId="0" applyNumberFormat="1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92" fontId="5" fillId="22" borderId="0" xfId="0" applyNumberFormat="1" applyFont="1" applyFill="1" applyAlignment="1">
      <alignment horizontal="left" vertical="center"/>
    </xf>
    <xf numFmtId="0" fontId="0" fillId="22" borderId="0" xfId="0" applyFill="1" applyAlignment="1">
      <alignment horizontal="left" vertical="center"/>
    </xf>
    <xf numFmtId="192" fontId="1" fillId="22" borderId="0" xfId="0" applyNumberFormat="1" applyFont="1" applyFill="1" applyAlignment="1">
      <alignment horizontal="left" vertical="center"/>
    </xf>
    <xf numFmtId="192" fontId="5" fillId="0" borderId="0" xfId="0" applyNumberFormat="1" applyFont="1" applyAlignment="1">
      <alignment horizontal="left" vertical="center"/>
    </xf>
    <xf numFmtId="0" fontId="58" fillId="42" borderId="0" xfId="0" applyFont="1" applyFill="1" applyAlignment="1">
      <alignment vertical="center"/>
    </xf>
    <xf numFmtId="3" fontId="58" fillId="42" borderId="0" xfId="0" applyNumberFormat="1" applyFont="1" applyFill="1" applyAlignment="1">
      <alignment horizontal="center" vertical="center"/>
    </xf>
    <xf numFmtId="187" fontId="58" fillId="42" borderId="0" xfId="0" applyNumberFormat="1" applyFont="1" applyFill="1" applyAlignment="1">
      <alignment horizontal="center" vertical="center"/>
    </xf>
    <xf numFmtId="213" fontId="58" fillId="42" borderId="0" xfId="0" applyNumberFormat="1" applyFont="1" applyFill="1" applyAlignment="1">
      <alignment horizontal="center" vertical="center"/>
    </xf>
    <xf numFmtId="229" fontId="58" fillId="42" borderId="0" xfId="0" applyNumberFormat="1" applyFont="1" applyFill="1" applyAlignment="1">
      <alignment horizontal="center" vertical="center"/>
    </xf>
    <xf numFmtId="0" fontId="58" fillId="42" borderId="0" xfId="0" applyFont="1" applyFill="1" applyAlignment="1">
      <alignment horizontal="center" vertical="center"/>
    </xf>
    <xf numFmtId="9" fontId="58" fillId="42" borderId="0" xfId="0" applyNumberFormat="1" applyFont="1" applyFill="1" applyAlignment="1">
      <alignment horizontal="center" vertical="center"/>
    </xf>
    <xf numFmtId="0" fontId="72" fillId="42" borderId="0" xfId="0" applyFont="1" applyFill="1"/>
    <xf numFmtId="0" fontId="73" fillId="41" borderId="0" xfId="0" applyFont="1" applyFill="1"/>
    <xf numFmtId="0" fontId="74" fillId="0" borderId="0" xfId="0" applyFont="1"/>
    <xf numFmtId="0" fontId="58" fillId="42" borderId="0" xfId="0" applyFont="1" applyFill="1" applyAlignment="1">
      <alignment horizontal="center"/>
    </xf>
  </cellXfs>
  <cellStyles count="310">
    <cellStyle name="1000-sep (2 dec) 2" xfId="1" xr:uid="{00000000-0005-0000-0000-000006000000}"/>
    <cellStyle name="1000-sep (2 dec) 2 2" xfId="2" xr:uid="{00000000-0005-0000-0000-000007000000}"/>
    <cellStyle name="1000-sep (2 dec) 2 3" xfId="3" xr:uid="{00000000-0005-0000-0000-000008000000}"/>
    <cellStyle name="20 % - Farve1 2" xfId="4" xr:uid="{00000000-0005-0000-0000-000009000000}"/>
    <cellStyle name="20 % - Farve2 2" xfId="5" xr:uid="{00000000-0005-0000-0000-00000A000000}"/>
    <cellStyle name="20 % - Farve3 2" xfId="6" xr:uid="{00000000-0005-0000-0000-00000B000000}"/>
    <cellStyle name="20 % - Farve4 2" xfId="7" xr:uid="{00000000-0005-0000-0000-00000C000000}"/>
    <cellStyle name="20 % - Farve5 2" xfId="8" xr:uid="{00000000-0005-0000-0000-00000D000000}"/>
    <cellStyle name="20 % - Farve6 2" xfId="9" xr:uid="{00000000-0005-0000-0000-00000E000000}"/>
    <cellStyle name="40 % - Farve1 2" xfId="10" xr:uid="{00000000-0005-0000-0000-00000F000000}"/>
    <cellStyle name="40 % - Farve2 2" xfId="11" xr:uid="{00000000-0005-0000-0000-000010000000}"/>
    <cellStyle name="40 % - Farve3 2" xfId="12" xr:uid="{00000000-0005-0000-0000-000011000000}"/>
    <cellStyle name="40 % - Farve4 2" xfId="13" xr:uid="{00000000-0005-0000-0000-000012000000}"/>
    <cellStyle name="40 % - Farve5 2" xfId="14" xr:uid="{00000000-0005-0000-0000-000013000000}"/>
    <cellStyle name="40 % - Farve6 2" xfId="15" xr:uid="{00000000-0005-0000-0000-000014000000}"/>
    <cellStyle name="60 % - Farve1 2" xfId="16" xr:uid="{00000000-0005-0000-0000-000015000000}"/>
    <cellStyle name="60 % - Farve2 2" xfId="17" xr:uid="{00000000-0005-0000-0000-000016000000}"/>
    <cellStyle name="60 % - Farve3 2" xfId="18" xr:uid="{00000000-0005-0000-0000-000017000000}"/>
    <cellStyle name="60 % - Farve4 2" xfId="19" xr:uid="{00000000-0005-0000-0000-000018000000}"/>
    <cellStyle name="60 % - Farve5 2" xfId="20" xr:uid="{00000000-0005-0000-0000-000019000000}"/>
    <cellStyle name="60 % - Farve6 2" xfId="21" xr:uid="{00000000-0005-0000-0000-00001A000000}"/>
    <cellStyle name="Actual" xfId="22" xr:uid="{00000000-0005-0000-0000-00001B000000}"/>
    <cellStyle name="Advarselstekst 2" xfId="23" xr:uid="{00000000-0005-0000-0000-00001C000000}"/>
    <cellStyle name="Bad 2" xfId="24" xr:uid="{00000000-0005-0000-0000-00001D000000}"/>
    <cellStyle name="Bel" xfId="25" xr:uid="{00000000-0005-0000-0000-00001E000000}"/>
    <cellStyle name="Bemærk! 2" xfId="26" xr:uid="{00000000-0005-0000-0000-00001F000000}"/>
    <cellStyle name="Beregning 2" xfId="27" xr:uid="{00000000-0005-0000-0000-000020000000}"/>
    <cellStyle name="BX GBP" xfId="28" xr:uid="{00000000-0005-0000-0000-000021000000}"/>
    <cellStyle name="BX Multiples" xfId="29" xr:uid="{00000000-0005-0000-0000-000022000000}"/>
    <cellStyle name="BX Numbers" xfId="30" xr:uid="{00000000-0005-0000-0000-000023000000}"/>
    <cellStyle name="BX Percentages" xfId="31" xr:uid="{00000000-0005-0000-0000-000024000000}"/>
    <cellStyle name="BX Text Header" xfId="32" xr:uid="{00000000-0005-0000-0000-000025000000}"/>
    <cellStyle name="Calculation 2" xfId="33" xr:uid="{00000000-0005-0000-0000-000026000000}"/>
    <cellStyle name="Check Cell 2" xfId="34" xr:uid="{00000000-0005-0000-0000-000027000000}"/>
    <cellStyle name="Comma [0] 2" xfId="155" xr:uid="{00000000-0005-0000-0000-0000A0000000}"/>
    <cellStyle name="Comma 10" xfId="35" xr:uid="{00000000-0005-0000-0000-000028000000}"/>
    <cellStyle name="Comma 10 2" xfId="36" xr:uid="{00000000-0005-0000-0000-000029000000}"/>
    <cellStyle name="Comma 11" xfId="37" xr:uid="{00000000-0005-0000-0000-00002A000000}"/>
    <cellStyle name="Comma 2" xfId="38" xr:uid="{00000000-0005-0000-0000-00002B000000}"/>
    <cellStyle name="Comma 2 2" xfId="39" xr:uid="{00000000-0005-0000-0000-00002C000000}"/>
    <cellStyle name="Comma 2 2 2" xfId="40" xr:uid="{00000000-0005-0000-0000-00002D000000}"/>
    <cellStyle name="Comma 2 2 3" xfId="41" xr:uid="{00000000-0005-0000-0000-00002E000000}"/>
    <cellStyle name="Comma 2 3" xfId="42" xr:uid="{00000000-0005-0000-0000-00002F000000}"/>
    <cellStyle name="Comma 2 3 2" xfId="43" xr:uid="{00000000-0005-0000-0000-000030000000}"/>
    <cellStyle name="Comma 2 3 2 2" xfId="44" xr:uid="{00000000-0005-0000-0000-000031000000}"/>
    <cellStyle name="Comma 2 3 2 2 2" xfId="45" xr:uid="{00000000-0005-0000-0000-000032000000}"/>
    <cellStyle name="Comma 2 3 2 2 2 2" xfId="46" xr:uid="{00000000-0005-0000-0000-000033000000}"/>
    <cellStyle name="Comma 2 3 2 2 2 2 2" xfId="47" xr:uid="{00000000-0005-0000-0000-000034000000}"/>
    <cellStyle name="Comma 2 3 2 2 2 2 3" xfId="48" xr:uid="{00000000-0005-0000-0000-000035000000}"/>
    <cellStyle name="Comma 2 3 2 2 3" xfId="49" xr:uid="{00000000-0005-0000-0000-000036000000}"/>
    <cellStyle name="Comma 2 3 2 2 3 2" xfId="50" xr:uid="{00000000-0005-0000-0000-000037000000}"/>
    <cellStyle name="Comma 2 3 2 2 3 2 2" xfId="51" xr:uid="{00000000-0005-0000-0000-000038000000}"/>
    <cellStyle name="Comma 2 3 2 2 4" xfId="52" xr:uid="{00000000-0005-0000-0000-000039000000}"/>
    <cellStyle name="Comma 2 3 2 2 4 2" xfId="53" xr:uid="{00000000-0005-0000-0000-00003A000000}"/>
    <cellStyle name="Comma 2 3 2 3" xfId="54" xr:uid="{00000000-0005-0000-0000-00003B000000}"/>
    <cellStyle name="Comma 2 3 2 3 2" xfId="55" xr:uid="{00000000-0005-0000-0000-00003C000000}"/>
    <cellStyle name="Comma 2 3 2 3 2 2" xfId="56" xr:uid="{00000000-0005-0000-0000-00003D000000}"/>
    <cellStyle name="Comma 2 3 2 4" xfId="57" xr:uid="{00000000-0005-0000-0000-00003E000000}"/>
    <cellStyle name="Comma 2 3 2 4 2" xfId="58" xr:uid="{00000000-0005-0000-0000-00003F000000}"/>
    <cellStyle name="Comma 2 3 2 4 2 2" xfId="59" xr:uid="{00000000-0005-0000-0000-000040000000}"/>
    <cellStyle name="Comma 2 3 2 5" xfId="60" xr:uid="{00000000-0005-0000-0000-000041000000}"/>
    <cellStyle name="Comma 2 3 2 5 2" xfId="61" xr:uid="{00000000-0005-0000-0000-000042000000}"/>
    <cellStyle name="Comma 2 3 3" xfId="62" xr:uid="{00000000-0005-0000-0000-000043000000}"/>
    <cellStyle name="Comma 2 3 3 2" xfId="63" xr:uid="{00000000-0005-0000-0000-000044000000}"/>
    <cellStyle name="Comma 2 3 3 2 2" xfId="64" xr:uid="{00000000-0005-0000-0000-000045000000}"/>
    <cellStyle name="Comma 2 3 3 2 2 2" xfId="65" xr:uid="{00000000-0005-0000-0000-000046000000}"/>
    <cellStyle name="Comma 2 3 3 3" xfId="66" xr:uid="{00000000-0005-0000-0000-000047000000}"/>
    <cellStyle name="Comma 2 3 3 3 2" xfId="67" xr:uid="{00000000-0005-0000-0000-000048000000}"/>
    <cellStyle name="Comma 2 3 3 3 2 2" xfId="68" xr:uid="{00000000-0005-0000-0000-000049000000}"/>
    <cellStyle name="Comma 2 3 3 4" xfId="69" xr:uid="{00000000-0005-0000-0000-00004A000000}"/>
    <cellStyle name="Comma 2 3 3 4 2" xfId="70" xr:uid="{00000000-0005-0000-0000-00004B000000}"/>
    <cellStyle name="Comma 2 3 4" xfId="71" xr:uid="{00000000-0005-0000-0000-00004C000000}"/>
    <cellStyle name="Comma 2 3 4 2" xfId="72" xr:uid="{00000000-0005-0000-0000-00004D000000}"/>
    <cellStyle name="Comma 2 3 4 2 2" xfId="73" xr:uid="{00000000-0005-0000-0000-00004E000000}"/>
    <cellStyle name="Comma 2 3 5" xfId="74" xr:uid="{00000000-0005-0000-0000-00004F000000}"/>
    <cellStyle name="Comma 2 3 5 2" xfId="75" xr:uid="{00000000-0005-0000-0000-000050000000}"/>
    <cellStyle name="Comma 2 3 5 2 2" xfId="76" xr:uid="{00000000-0005-0000-0000-000051000000}"/>
    <cellStyle name="Comma 2 3 6" xfId="77" xr:uid="{00000000-0005-0000-0000-000052000000}"/>
    <cellStyle name="Comma 2 3 6 2" xfId="78" xr:uid="{00000000-0005-0000-0000-000053000000}"/>
    <cellStyle name="Comma 2 3 6 2 2" xfId="79" xr:uid="{00000000-0005-0000-0000-000054000000}"/>
    <cellStyle name="Comma 2 3 7" xfId="80" xr:uid="{00000000-0005-0000-0000-000055000000}"/>
    <cellStyle name="Comma 2 3 7 2" xfId="81" xr:uid="{00000000-0005-0000-0000-000056000000}"/>
    <cellStyle name="Comma 2 3 8" xfId="82" xr:uid="{00000000-0005-0000-0000-000057000000}"/>
    <cellStyle name="Comma 2 3 8 2" xfId="83" xr:uid="{00000000-0005-0000-0000-000058000000}"/>
    <cellStyle name="Comma 2 4" xfId="84" xr:uid="{00000000-0005-0000-0000-000059000000}"/>
    <cellStyle name="Comma 2 4 2" xfId="85" xr:uid="{00000000-0005-0000-0000-00005A000000}"/>
    <cellStyle name="Comma 2 4 2 2" xfId="86" xr:uid="{00000000-0005-0000-0000-00005B000000}"/>
    <cellStyle name="Comma 2 4 2 2 2" xfId="87" xr:uid="{00000000-0005-0000-0000-00005C000000}"/>
    <cellStyle name="Comma 2 4 2 2 2 2" xfId="88" xr:uid="{00000000-0005-0000-0000-00005D000000}"/>
    <cellStyle name="Comma 2 4 2 3" xfId="89" xr:uid="{00000000-0005-0000-0000-00005E000000}"/>
    <cellStyle name="Comma 2 4 2 3 2" xfId="90" xr:uid="{00000000-0005-0000-0000-00005F000000}"/>
    <cellStyle name="Comma 2 4 2 3 2 2" xfId="91" xr:uid="{00000000-0005-0000-0000-000060000000}"/>
    <cellStyle name="Comma 2 4 2 4" xfId="92" xr:uid="{00000000-0005-0000-0000-000061000000}"/>
    <cellStyle name="Comma 2 4 2 4 2" xfId="93" xr:uid="{00000000-0005-0000-0000-000062000000}"/>
    <cellStyle name="Comma 2 4 3" xfId="94" xr:uid="{00000000-0005-0000-0000-000063000000}"/>
    <cellStyle name="Comma 2 4 3 2" xfId="95" xr:uid="{00000000-0005-0000-0000-000064000000}"/>
    <cellStyle name="Comma 2 4 3 2 2" xfId="96" xr:uid="{00000000-0005-0000-0000-000065000000}"/>
    <cellStyle name="Comma 2 4 4" xfId="97" xr:uid="{00000000-0005-0000-0000-000066000000}"/>
    <cellStyle name="Comma 2 4 4 2" xfId="98" xr:uid="{00000000-0005-0000-0000-000067000000}"/>
    <cellStyle name="Comma 2 4 4 2 2" xfId="99" xr:uid="{00000000-0005-0000-0000-000068000000}"/>
    <cellStyle name="Comma 2 4 5" xfId="100" xr:uid="{00000000-0005-0000-0000-000069000000}"/>
    <cellStyle name="Comma 2 4 5 2" xfId="101" xr:uid="{00000000-0005-0000-0000-00006A000000}"/>
    <cellStyle name="Comma 2 4 5 2 2" xfId="102" xr:uid="{00000000-0005-0000-0000-00006B000000}"/>
    <cellStyle name="Comma 2 4 6" xfId="103" xr:uid="{00000000-0005-0000-0000-00006C000000}"/>
    <cellStyle name="Comma 2 4 6 2" xfId="104" xr:uid="{00000000-0005-0000-0000-00006D000000}"/>
    <cellStyle name="Comma 2 5" xfId="105" xr:uid="{00000000-0005-0000-0000-00006E000000}"/>
    <cellStyle name="Comma 2 5 2" xfId="106" xr:uid="{00000000-0005-0000-0000-00006F000000}"/>
    <cellStyle name="Comma 2 5 2 2" xfId="107" xr:uid="{00000000-0005-0000-0000-000070000000}"/>
    <cellStyle name="Comma 2 5 2 2 2" xfId="108" xr:uid="{00000000-0005-0000-0000-000071000000}"/>
    <cellStyle name="Comma 2 5 3" xfId="109" xr:uid="{00000000-0005-0000-0000-000072000000}"/>
    <cellStyle name="Comma 2 5 3 2" xfId="110" xr:uid="{00000000-0005-0000-0000-000073000000}"/>
    <cellStyle name="Comma 2 5 3 2 2" xfId="111" xr:uid="{00000000-0005-0000-0000-000074000000}"/>
    <cellStyle name="Comma 2 5 4" xfId="112" xr:uid="{00000000-0005-0000-0000-000075000000}"/>
    <cellStyle name="Comma 2 5 4 2" xfId="113" xr:uid="{00000000-0005-0000-0000-000076000000}"/>
    <cellStyle name="Comma 2 6" xfId="114" xr:uid="{00000000-0005-0000-0000-000077000000}"/>
    <cellStyle name="Comma 2 6 2" xfId="115" xr:uid="{00000000-0005-0000-0000-000078000000}"/>
    <cellStyle name="Comma 2 7" xfId="116" xr:uid="{00000000-0005-0000-0000-000079000000}"/>
    <cellStyle name="Comma 2 7 2" xfId="117" xr:uid="{00000000-0005-0000-0000-00007A000000}"/>
    <cellStyle name="Comma 3" xfId="118" xr:uid="{00000000-0005-0000-0000-00007B000000}"/>
    <cellStyle name="Comma 3 2" xfId="119" xr:uid="{00000000-0005-0000-0000-00007C000000}"/>
    <cellStyle name="Comma 3 2 2" xfId="120" xr:uid="{00000000-0005-0000-0000-00007D000000}"/>
    <cellStyle name="Comma 3 2 2 2" xfId="121" xr:uid="{00000000-0005-0000-0000-00007E000000}"/>
    <cellStyle name="Comma 3 2 2 2 2" xfId="122" xr:uid="{00000000-0005-0000-0000-00007F000000}"/>
    <cellStyle name="Comma 3 2 2 2 2 2" xfId="123" xr:uid="{00000000-0005-0000-0000-000080000000}"/>
    <cellStyle name="Comma 3 2 2 3" xfId="124" xr:uid="{00000000-0005-0000-0000-000081000000}"/>
    <cellStyle name="Comma 3 2 2 3 2" xfId="125" xr:uid="{00000000-0005-0000-0000-000082000000}"/>
    <cellStyle name="Comma 3 2 2 3 2 2" xfId="126" xr:uid="{00000000-0005-0000-0000-000083000000}"/>
    <cellStyle name="Comma 3 2 2 4" xfId="127" xr:uid="{00000000-0005-0000-0000-000084000000}"/>
    <cellStyle name="Comma 3 2 2 4 2" xfId="128" xr:uid="{00000000-0005-0000-0000-000085000000}"/>
    <cellStyle name="Comma 3 2 2 5" xfId="129" xr:uid="{00000000-0005-0000-0000-000086000000}"/>
    <cellStyle name="Comma 3 2 3" xfId="130" xr:uid="{00000000-0005-0000-0000-000087000000}"/>
    <cellStyle name="Comma 3 2 3 2" xfId="131" xr:uid="{00000000-0005-0000-0000-000088000000}"/>
    <cellStyle name="Comma 3 2 3 2 2" xfId="132" xr:uid="{00000000-0005-0000-0000-000089000000}"/>
    <cellStyle name="Comma 3 2 4" xfId="133" xr:uid="{00000000-0005-0000-0000-00008A000000}"/>
    <cellStyle name="Comma 3 2 4 2" xfId="134" xr:uid="{00000000-0005-0000-0000-00008B000000}"/>
    <cellStyle name="Comma 3 2 4 2 2" xfId="135" xr:uid="{00000000-0005-0000-0000-00008C000000}"/>
    <cellStyle name="Comma 3 2 5" xfId="136" xr:uid="{00000000-0005-0000-0000-00008D000000}"/>
    <cellStyle name="Comma 3 2 5 2" xfId="137" xr:uid="{00000000-0005-0000-0000-00008E000000}"/>
    <cellStyle name="Comma 3 2 6" xfId="138" xr:uid="{00000000-0005-0000-0000-00008F000000}"/>
    <cellStyle name="Comma 3 3" xfId="139" xr:uid="{00000000-0005-0000-0000-000090000000}"/>
    <cellStyle name="Comma 3 3 2" xfId="140" xr:uid="{00000000-0005-0000-0000-000091000000}"/>
    <cellStyle name="Comma 3 4" xfId="141" xr:uid="{00000000-0005-0000-0000-000092000000}"/>
    <cellStyle name="Comma 3 5" xfId="142" xr:uid="{00000000-0005-0000-0000-000093000000}"/>
    <cellStyle name="Comma 4" xfId="143" xr:uid="{00000000-0005-0000-0000-000094000000}"/>
    <cellStyle name="Comma 4 2" xfId="144" xr:uid="{00000000-0005-0000-0000-000095000000}"/>
    <cellStyle name="Comma 4 2 2" xfId="145" xr:uid="{00000000-0005-0000-0000-000096000000}"/>
    <cellStyle name="Comma 4 2 3" xfId="146" xr:uid="{00000000-0005-0000-0000-000097000000}"/>
    <cellStyle name="Comma 4 3" xfId="147" xr:uid="{00000000-0005-0000-0000-000098000000}"/>
    <cellStyle name="Comma 4 3 2" xfId="148" xr:uid="{00000000-0005-0000-0000-000099000000}"/>
    <cellStyle name="Comma 4 4" xfId="149" xr:uid="{00000000-0005-0000-0000-00009A000000}"/>
    <cellStyle name="Comma 5" xfId="150" xr:uid="{00000000-0005-0000-0000-00009B000000}"/>
    <cellStyle name="Comma 6" xfId="151" xr:uid="{00000000-0005-0000-0000-00009C000000}"/>
    <cellStyle name="Comma 7" xfId="152" xr:uid="{00000000-0005-0000-0000-00009D000000}"/>
    <cellStyle name="Comma 8" xfId="153" xr:uid="{00000000-0005-0000-0000-00009E000000}"/>
    <cellStyle name="Comma 9" xfId="154" xr:uid="{00000000-0005-0000-0000-00009F000000}"/>
    <cellStyle name="Cover title" xfId="156" xr:uid="{00000000-0005-0000-0000-0000A1000000}"/>
    <cellStyle name="Currency 2" xfId="157" xr:uid="{00000000-0005-0000-0000-0000A2000000}"/>
    <cellStyle name="Currency 2 2" xfId="158" xr:uid="{00000000-0005-0000-0000-0000A3000000}"/>
    <cellStyle name="Currency 2 8" xfId="159" xr:uid="{00000000-0005-0000-0000-0000A4000000}"/>
    <cellStyle name="Driver" xfId="160" xr:uid="{00000000-0005-0000-0000-0000A5000000}"/>
    <cellStyle name="Explanatory Text 2" xfId="161" xr:uid="{00000000-0005-0000-0000-0000A6000000}"/>
    <cellStyle name="Farve1 2" xfId="162" xr:uid="{00000000-0005-0000-0000-0000A7000000}"/>
    <cellStyle name="Farve2 2" xfId="163" xr:uid="{00000000-0005-0000-0000-0000A8000000}"/>
    <cellStyle name="Farve3 2" xfId="164" xr:uid="{00000000-0005-0000-0000-0000A9000000}"/>
    <cellStyle name="Farve4 2" xfId="165" xr:uid="{00000000-0005-0000-0000-0000AA000000}"/>
    <cellStyle name="Farve5 2" xfId="166" xr:uid="{00000000-0005-0000-0000-0000AB000000}"/>
    <cellStyle name="Farve6 2" xfId="167" xr:uid="{00000000-0005-0000-0000-0000AC000000}"/>
    <cellStyle name="Forklarende tekst 2" xfId="168" xr:uid="{00000000-0005-0000-0000-0000AD000000}"/>
    <cellStyle name="General heading" xfId="169" xr:uid="{00000000-0005-0000-0000-0000AE000000}"/>
    <cellStyle name="God 2" xfId="170" xr:uid="{00000000-0005-0000-0000-0000AF000000}"/>
    <cellStyle name="Good 2" xfId="171" xr:uid="{00000000-0005-0000-0000-0000B0000000}"/>
    <cellStyle name="Heading 1 2" xfId="172" xr:uid="{00000000-0005-0000-0000-0000B1000000}"/>
    <cellStyle name="Heading 2 2" xfId="173" xr:uid="{00000000-0005-0000-0000-0000B2000000}"/>
    <cellStyle name="Heading 3 2" xfId="174" xr:uid="{00000000-0005-0000-0000-0000B3000000}"/>
    <cellStyle name="Heading 4 2" xfId="175" xr:uid="{00000000-0005-0000-0000-0000B4000000}"/>
    <cellStyle name="Hyperlink 2" xfId="176" xr:uid="{00000000-0005-0000-0000-0000B5000000}"/>
    <cellStyle name="Hyperlink 2 2" xfId="177" xr:uid="{00000000-0005-0000-0000-0000B6000000}"/>
    <cellStyle name="Hyperlink 3" xfId="178" xr:uid="{00000000-0005-0000-0000-0000B7000000}"/>
    <cellStyle name="Input 2" xfId="179" xr:uid="{00000000-0005-0000-0000-0000B8000000}"/>
    <cellStyle name="Komma 2" xfId="180" xr:uid="{00000000-0005-0000-0000-0000B9000000}"/>
    <cellStyle name="Komma 2 2" xfId="181" xr:uid="{00000000-0005-0000-0000-0000BA000000}"/>
    <cellStyle name="Komma 2 2 2" xfId="182" xr:uid="{00000000-0005-0000-0000-0000BB000000}"/>
    <cellStyle name="Komma 2 2 2 2" xfId="183" xr:uid="{00000000-0005-0000-0000-0000BC000000}"/>
    <cellStyle name="Komma 2 3" xfId="184" xr:uid="{00000000-0005-0000-0000-0000BD000000}"/>
    <cellStyle name="Komma 2 3 2" xfId="185" xr:uid="{00000000-0005-0000-0000-0000BE000000}"/>
    <cellStyle name="Komma 2 3 3" xfId="186" xr:uid="{00000000-0005-0000-0000-0000BF000000}"/>
    <cellStyle name="Komma 2 4" xfId="187" xr:uid="{00000000-0005-0000-0000-0000C0000000}"/>
    <cellStyle name="Komma 3" xfId="188" xr:uid="{00000000-0005-0000-0000-0000C1000000}"/>
    <cellStyle name="Komma 3 2" xfId="189" xr:uid="{00000000-0005-0000-0000-0000C2000000}"/>
    <cellStyle name="Komma 3 3" xfId="190" xr:uid="{00000000-0005-0000-0000-0000C3000000}"/>
    <cellStyle name="Komma 4" xfId="191" xr:uid="{00000000-0005-0000-0000-0000C4000000}"/>
    <cellStyle name="Komma 4 2" xfId="192" xr:uid="{00000000-0005-0000-0000-0000C5000000}"/>
    <cellStyle name="Komma 5" xfId="193" xr:uid="{00000000-0005-0000-0000-0000C6000000}"/>
    <cellStyle name="Komma 5 2" xfId="194" xr:uid="{00000000-0005-0000-0000-0000C7000000}"/>
    <cellStyle name="Komma 6" xfId="195" xr:uid="{00000000-0005-0000-0000-0000C8000000}"/>
    <cellStyle name="Komma 7" xfId="196" xr:uid="{00000000-0005-0000-0000-0000C9000000}"/>
    <cellStyle name="Kontrollér celle 2" xfId="197" xr:uid="{00000000-0005-0000-0000-0000CA000000}"/>
    <cellStyle name="Linked Cell 2" xfId="198" xr:uid="{00000000-0005-0000-0000-0000CB000000}"/>
    <cellStyle name="MAND_x000a_CHECK.COMMAND_x000e_RENAME.COMMAND_x0008_SHOW.BAR_x000b_DELETE.MENU_x000e_DELETE.COMMAND_x000e_GET.CHA" xfId="199" xr:uid="{00000000-0005-0000-0000-0000CC000000}"/>
    <cellStyle name="Multiple" xfId="200" xr:uid="{00000000-0005-0000-0000-0000CD000000}"/>
    <cellStyle name="Neutral 2" xfId="201" xr:uid="{00000000-0005-0000-0000-0000CE000000}"/>
    <cellStyle name="Normal" xfId="0" builtinId="0"/>
    <cellStyle name="Normal 10" xfId="202" xr:uid="{00000000-0005-0000-0000-0000CF000000}"/>
    <cellStyle name="Normal 11" xfId="203" xr:uid="{00000000-0005-0000-0000-0000D0000000}"/>
    <cellStyle name="Normal 12" xfId="204" xr:uid="{00000000-0005-0000-0000-0000D1000000}"/>
    <cellStyle name="Normal 13" xfId="205" xr:uid="{00000000-0005-0000-0000-0000D2000000}"/>
    <cellStyle name="Normal 14" xfId="206" xr:uid="{00000000-0005-0000-0000-0000D3000000}"/>
    <cellStyle name="Normal 15" xfId="207" xr:uid="{00000000-0005-0000-0000-0000D4000000}"/>
    <cellStyle name="Normal 16" xfId="208" xr:uid="{00000000-0005-0000-0000-0000D5000000}"/>
    <cellStyle name="Normal 17" xfId="209" xr:uid="{00000000-0005-0000-0000-0000D6000000}"/>
    <cellStyle name="Normal 2" xfId="210" xr:uid="{00000000-0005-0000-0000-0000D7000000}"/>
    <cellStyle name="Normal 2 2" xfId="211" xr:uid="{00000000-0005-0000-0000-0000D8000000}"/>
    <cellStyle name="Normal 2 2 2" xfId="212" xr:uid="{00000000-0005-0000-0000-0000D9000000}"/>
    <cellStyle name="Normal 2 2 2 2" xfId="213" xr:uid="{00000000-0005-0000-0000-0000DA000000}"/>
    <cellStyle name="Normal 2 2 3" xfId="214" xr:uid="{00000000-0005-0000-0000-0000DB000000}"/>
    <cellStyle name="Normal 2 2 4" xfId="215" xr:uid="{00000000-0005-0000-0000-0000DC000000}"/>
    <cellStyle name="Normal 2 3" xfId="216" xr:uid="{00000000-0005-0000-0000-0000DD000000}"/>
    <cellStyle name="Normal 2 3 2" xfId="217" xr:uid="{00000000-0005-0000-0000-0000DE000000}"/>
    <cellStyle name="Normal 2 3 3" xfId="218" xr:uid="{00000000-0005-0000-0000-0000DF000000}"/>
    <cellStyle name="Normal 2 3 4" xfId="219" xr:uid="{00000000-0005-0000-0000-0000E0000000}"/>
    <cellStyle name="Normal 2 3 5" xfId="220" xr:uid="{00000000-0005-0000-0000-0000E1000000}"/>
    <cellStyle name="Normal 2 4" xfId="221" xr:uid="{00000000-0005-0000-0000-0000E2000000}"/>
    <cellStyle name="Normal 2 4 2" xfId="222" xr:uid="{00000000-0005-0000-0000-0000E3000000}"/>
    <cellStyle name="Normal 2 5" xfId="223" xr:uid="{00000000-0005-0000-0000-0000E4000000}"/>
    <cellStyle name="Normal 2 6" xfId="224" xr:uid="{00000000-0005-0000-0000-0000E5000000}"/>
    <cellStyle name="Normal 262" xfId="225" xr:uid="{00000000-0005-0000-0000-0000E6000000}"/>
    <cellStyle name="Normal 3" xfId="226" xr:uid="{00000000-0005-0000-0000-0000E7000000}"/>
    <cellStyle name="Normal 3 2" xfId="227" xr:uid="{00000000-0005-0000-0000-0000E8000000}"/>
    <cellStyle name="Normal 3 3" xfId="228" xr:uid="{00000000-0005-0000-0000-0000E9000000}"/>
    <cellStyle name="Normal 3 4" xfId="229" xr:uid="{00000000-0005-0000-0000-0000EA000000}"/>
    <cellStyle name="Normal 3 5" xfId="230" xr:uid="{00000000-0005-0000-0000-0000EB000000}"/>
    <cellStyle name="Normal 3 6" xfId="231" xr:uid="{00000000-0005-0000-0000-0000EC000000}"/>
    <cellStyle name="Normal 3 7" xfId="232" xr:uid="{00000000-0005-0000-0000-0000ED000000}"/>
    <cellStyle name="Normal 36" xfId="233" xr:uid="{00000000-0005-0000-0000-0000EE000000}"/>
    <cellStyle name="Normal 4" xfId="234" xr:uid="{00000000-0005-0000-0000-0000EF000000}"/>
    <cellStyle name="Normal 4 2" xfId="235" xr:uid="{00000000-0005-0000-0000-0000F0000000}"/>
    <cellStyle name="Normal 4 2 2" xfId="236" xr:uid="{00000000-0005-0000-0000-0000F1000000}"/>
    <cellStyle name="Normal 4 3" xfId="237" xr:uid="{00000000-0005-0000-0000-0000F2000000}"/>
    <cellStyle name="Normal 4 4" xfId="238" xr:uid="{00000000-0005-0000-0000-0000F3000000}"/>
    <cellStyle name="Normal 5" xfId="239" xr:uid="{00000000-0005-0000-0000-0000F4000000}"/>
    <cellStyle name="Normal 5 2" xfId="240" xr:uid="{00000000-0005-0000-0000-0000F5000000}"/>
    <cellStyle name="Normal 5 2 2" xfId="241" xr:uid="{00000000-0005-0000-0000-0000F6000000}"/>
    <cellStyle name="Normal 5 2 3" xfId="242" xr:uid="{00000000-0005-0000-0000-0000F7000000}"/>
    <cellStyle name="Normal 5 2 4" xfId="243" xr:uid="{00000000-0005-0000-0000-0000F8000000}"/>
    <cellStyle name="Normal 5 3" xfId="244" xr:uid="{00000000-0005-0000-0000-0000F9000000}"/>
    <cellStyle name="Normal 5 4" xfId="245" xr:uid="{00000000-0005-0000-0000-0000FA000000}"/>
    <cellStyle name="Normal 6" xfId="246" xr:uid="{00000000-0005-0000-0000-0000FB000000}"/>
    <cellStyle name="Normal 6 2" xfId="247" xr:uid="{00000000-0005-0000-0000-0000FC000000}"/>
    <cellStyle name="Normal 6 2 2" xfId="248" xr:uid="{00000000-0005-0000-0000-0000FD000000}"/>
    <cellStyle name="Normal 6 2 3" xfId="249" xr:uid="{00000000-0005-0000-0000-0000FE000000}"/>
    <cellStyle name="Normal 6 3" xfId="250" xr:uid="{00000000-0005-0000-0000-0000FF000000}"/>
    <cellStyle name="Normal 7" xfId="251" xr:uid="{00000000-0005-0000-0000-000000010000}"/>
    <cellStyle name="Normal 7 2" xfId="252" xr:uid="{00000000-0005-0000-0000-000001010000}"/>
    <cellStyle name="Normal 7 3" xfId="253" xr:uid="{00000000-0005-0000-0000-000002010000}"/>
    <cellStyle name="Normal 7 4" xfId="254" xr:uid="{00000000-0005-0000-0000-000003010000}"/>
    <cellStyle name="Normal 8" xfId="255" xr:uid="{00000000-0005-0000-0000-000004010000}"/>
    <cellStyle name="Normal 9" xfId="256" xr:uid="{00000000-0005-0000-0000-000005010000}"/>
    <cellStyle name="Normal 9 2" xfId="257" xr:uid="{00000000-0005-0000-0000-000006010000}"/>
    <cellStyle name="Note 2" xfId="258" xr:uid="{00000000-0005-0000-0000-000007010000}"/>
    <cellStyle name="NumberStyle" xfId="259" xr:uid="{00000000-0005-0000-0000-000008010000}"/>
    <cellStyle name="Output 2" xfId="260" xr:uid="{00000000-0005-0000-0000-000009010000}"/>
    <cellStyle name="Overskrift 1 2" xfId="261" xr:uid="{00000000-0005-0000-0000-00000A010000}"/>
    <cellStyle name="Overskrift 2 2" xfId="262" xr:uid="{00000000-0005-0000-0000-00000B010000}"/>
    <cellStyle name="Overskrift 3 2" xfId="263" xr:uid="{00000000-0005-0000-0000-00000C010000}"/>
    <cellStyle name="Overskrift 4 2" xfId="264" xr:uid="{00000000-0005-0000-0000-00000D010000}"/>
    <cellStyle name="Per cent 2" xfId="265" xr:uid="{00000000-0005-0000-0000-00000E010000}"/>
    <cellStyle name="Percent 10" xfId="266" xr:uid="{00000000-0005-0000-0000-00000F010000}"/>
    <cellStyle name="Percent 11" xfId="267" xr:uid="{00000000-0005-0000-0000-000010010000}"/>
    <cellStyle name="Percent 2" xfId="268" xr:uid="{00000000-0005-0000-0000-000011010000}"/>
    <cellStyle name="Percent 2 2" xfId="269" xr:uid="{00000000-0005-0000-0000-000012010000}"/>
    <cellStyle name="Percent 2 3" xfId="270" xr:uid="{00000000-0005-0000-0000-000013010000}"/>
    <cellStyle name="Percent 2 3 2" xfId="271" xr:uid="{00000000-0005-0000-0000-000014010000}"/>
    <cellStyle name="Percent 2 3 3" xfId="272" xr:uid="{00000000-0005-0000-0000-000015010000}"/>
    <cellStyle name="Percent 3" xfId="273" xr:uid="{00000000-0005-0000-0000-000016010000}"/>
    <cellStyle name="Percent 3 2" xfId="274" xr:uid="{00000000-0005-0000-0000-000017010000}"/>
    <cellStyle name="Percent 3 3" xfId="275" xr:uid="{00000000-0005-0000-0000-000018010000}"/>
    <cellStyle name="Percent 4" xfId="276" xr:uid="{00000000-0005-0000-0000-000019010000}"/>
    <cellStyle name="Percent 4 2" xfId="277" xr:uid="{00000000-0005-0000-0000-00001A010000}"/>
    <cellStyle name="Percent 5" xfId="278" xr:uid="{00000000-0005-0000-0000-00001B010000}"/>
    <cellStyle name="Percent 6" xfId="279" xr:uid="{00000000-0005-0000-0000-00001C010000}"/>
    <cellStyle name="Percent 7" xfId="280" xr:uid="{00000000-0005-0000-0000-00001D010000}"/>
    <cellStyle name="Percent 7 2" xfId="281" xr:uid="{00000000-0005-0000-0000-00001E010000}"/>
    <cellStyle name="Percent 7 3" xfId="282" xr:uid="{00000000-0005-0000-0000-00001F010000}"/>
    <cellStyle name="Percent 8" xfId="283" xr:uid="{00000000-0005-0000-0000-000020010000}"/>
    <cellStyle name="Percent 8 2" xfId="284" xr:uid="{00000000-0005-0000-0000-000021010000}"/>
    <cellStyle name="Percent 8 3" xfId="285" xr:uid="{00000000-0005-0000-0000-000022010000}"/>
    <cellStyle name="Percent 9" xfId="286" xr:uid="{00000000-0005-0000-0000-000023010000}"/>
    <cellStyle name="Procent 2" xfId="287" xr:uid="{00000000-0005-0000-0000-000024010000}"/>
    <cellStyle name="Procent 3" xfId="288" xr:uid="{00000000-0005-0000-0000-000025010000}"/>
    <cellStyle name="R" xfId="289" xr:uid="{00000000-0005-0000-0000-000026010000}"/>
    <cellStyle name="Sammenkædet celle 2" xfId="290" xr:uid="{00000000-0005-0000-0000-000027010000}"/>
    <cellStyle name="Secondary heading" xfId="291" xr:uid="{00000000-0005-0000-0000-000028010000}"/>
    <cellStyle name="Smart Bold" xfId="292" xr:uid="{00000000-0005-0000-0000-000029010000}"/>
    <cellStyle name="Smart Forecast" xfId="293" xr:uid="{00000000-0005-0000-0000-00002A010000}"/>
    <cellStyle name="Smart General" xfId="294" xr:uid="{00000000-0005-0000-0000-00002B010000}"/>
    <cellStyle name="Smart Highlight" xfId="295" xr:uid="{00000000-0005-0000-0000-00002C010000}"/>
    <cellStyle name="Smart Percent" xfId="296" xr:uid="{00000000-0005-0000-0000-00002D010000}"/>
    <cellStyle name="Smart Source" xfId="297" xr:uid="{00000000-0005-0000-0000-00002E010000}"/>
    <cellStyle name="Smart Subtitle 1" xfId="298" xr:uid="{00000000-0005-0000-0000-00002F010000}"/>
    <cellStyle name="Smart Subtitle 2" xfId="299" xr:uid="{00000000-0005-0000-0000-000030010000}"/>
    <cellStyle name="Smart Subtitle 3" xfId="300" xr:uid="{00000000-0005-0000-0000-000031010000}"/>
    <cellStyle name="Smart Subtotal" xfId="301" xr:uid="{00000000-0005-0000-0000-000032010000}"/>
    <cellStyle name="Smart Title" xfId="302" xr:uid="{00000000-0005-0000-0000-000033010000}"/>
    <cellStyle name="Smart Total" xfId="303" xr:uid="{00000000-0005-0000-0000-000034010000}"/>
    <cellStyle name="Standard 6" xfId="304" xr:uid="{00000000-0005-0000-0000-000035010000}"/>
    <cellStyle name="Table title preso" xfId="305" xr:uid="{00000000-0005-0000-0000-000036010000}"/>
    <cellStyle name="Titel 2" xfId="306" xr:uid="{00000000-0005-0000-0000-000037010000}"/>
    <cellStyle name="Title 2" xfId="307" xr:uid="{00000000-0005-0000-0000-000038010000}"/>
    <cellStyle name="Total 2" xfId="308" xr:uid="{00000000-0005-0000-0000-000039010000}"/>
    <cellStyle name="Ugyldig 2" xfId="309" xr:uid="{00000000-0005-0000-0000-00003A01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E1E5F2"/>
      <rgbColor rgb="FF0000FF"/>
      <rgbColor rgb="FFFFFF00"/>
      <rgbColor rgb="FFFCE4EC"/>
      <rgbColor rgb="FFD4E0BE"/>
      <rgbColor rgb="FFB10302"/>
      <rgbColor rgb="FF007400"/>
      <rgbColor rgb="FF1F4E79"/>
      <rgbColor rgb="FF67636B"/>
      <rgbColor rgb="FF800080"/>
      <rgbColor rgb="FF019547"/>
      <rgbColor rgb="FFC7CADB"/>
      <rgbColor rgb="FF807F82"/>
      <rgbColor rgb="FFABA8C9"/>
      <rgbColor rgb="FF595959"/>
      <rgbColor rgb="FFFFFFCC"/>
      <rgbColor rgb="FFDBEEF4"/>
      <rgbColor rgb="FFEEF3FA"/>
      <rgbColor rgb="FFF2DCDB"/>
      <rgbColor rgb="FF0070C0"/>
      <rgbColor rgb="FFD0D7E5"/>
      <rgbColor rgb="FFFFFFDD"/>
      <rgbColor rgb="FFFDEADA"/>
      <rgbColor rgb="FFFEE0AE"/>
      <rgbColor rgb="FFD9E2F1"/>
      <rgbColor rgb="FFF2F2F2"/>
      <rgbColor rgb="FFC00000"/>
      <rgbColor rgb="FF1A78BC"/>
      <rgbColor rgb="FFF2F4F8"/>
      <rgbColor rgb="FFD6E4F0"/>
      <rgbColor rgb="FFDEEBF7"/>
      <rgbColor rgb="FFEBF1DF"/>
      <rgbColor rgb="FFFFF2CC"/>
      <rgbColor rgb="FF80B0CF"/>
      <rgbColor rgb="FFF6BEA4"/>
      <rgbColor rgb="FFC8A0A2"/>
      <rgbColor rgb="FFFECCAE"/>
      <rgbColor rgb="FF4F81BD"/>
      <rgbColor rgb="FFCCD9E5"/>
      <rgbColor rgb="FF8DB653"/>
      <rgbColor rgb="FFFED4B1"/>
      <rgbColor rgb="FFFDA013"/>
      <rgbColor rgb="FFFA7D00"/>
      <rgbColor rgb="FF796394"/>
      <rgbColor rgb="FFA9A5AE"/>
      <rgbColor rgb="FF1F3864"/>
      <rgbColor rgb="FF1F4E78"/>
      <rgbColor rgb="FF1F497D"/>
      <rgbColor rgb="FF1B2A4A"/>
      <rgbColor rgb="FFA1581C"/>
      <rgbColor rgb="FFD9DBDA"/>
      <rgbColor rgb="FF274064"/>
      <rgbColor rgb="FF3434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1660B7-5495-43A2-9C8A-D0A23EEA52E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ee02eb7-8632-4e57-a4c6-8801d8d8a50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DF189"/>
  <sheetViews>
    <sheetView zoomScaleNormal="100" workbookViewId="0">
      <selection activeCell="E67" sqref="E67"/>
    </sheetView>
  </sheetViews>
  <sheetFormatPr defaultColWidth="8.73046875" defaultRowHeight="14.25"/>
  <cols>
    <col min="1" max="2" width="2" customWidth="1"/>
    <col min="3" max="7" width="38" customWidth="1"/>
    <col min="8" max="8" width="8.59765625" customWidth="1"/>
  </cols>
  <sheetData>
    <row r="1" spans="1:110" ht="1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</row>
    <row r="2" spans="1:110" ht="15" customHeight="1">
      <c r="A2" s="4"/>
      <c r="B2" s="4"/>
      <c r="C2" s="5" t="s">
        <v>14</v>
      </c>
      <c r="D2" s="6" t="s">
        <v>15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</row>
    <row r="3" spans="1:110" ht="15" customHeight="1">
      <c r="A3" s="4"/>
      <c r="B3" s="4"/>
      <c r="C3" s="5" t="s">
        <v>16</v>
      </c>
      <c r="D3" s="5" t="s">
        <v>17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</row>
    <row r="4" spans="1:110" ht="15" customHeight="1">
      <c r="A4" s="4"/>
      <c r="B4" s="4"/>
      <c r="C4" s="5" t="s">
        <v>18</v>
      </c>
      <c r="D4" s="7" t="e">
        <f>#REF!</f>
        <v>#REF!</v>
      </c>
      <c r="E4" s="4"/>
      <c r="F4" s="4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</row>
    <row r="5" spans="1:110" ht="15" customHeight="1">
      <c r="A5" s="4"/>
      <c r="B5" s="4"/>
      <c r="C5" s="5" t="s">
        <v>19</v>
      </c>
      <c r="D5" s="7" t="e">
        <f>#REF!</f>
        <v>#REF!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</row>
    <row r="6" spans="1:110" ht="15" customHeight="1">
      <c r="A6" s="4"/>
      <c r="B6" s="4"/>
      <c r="C6" s="4"/>
      <c r="D6" s="4"/>
      <c r="E6" s="4"/>
      <c r="F6" s="4"/>
      <c r="G6" s="8"/>
      <c r="H6" s="9"/>
      <c r="I6" s="9"/>
      <c r="J6" s="9"/>
      <c r="K6" s="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</row>
    <row r="7" spans="1:110" ht="21.75" customHeight="1">
      <c r="A7" s="4"/>
      <c r="B7" s="10"/>
      <c r="C7" s="11" t="s">
        <v>20</v>
      </c>
      <c r="D7" s="11" t="s">
        <v>15</v>
      </c>
      <c r="E7" s="10"/>
      <c r="F7" s="4"/>
      <c r="G7" s="8"/>
      <c r="H7" s="12"/>
      <c r="I7" s="12"/>
      <c r="J7" s="12"/>
      <c r="K7" s="1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</row>
    <row r="8" spans="1:110" ht="18" customHeight="1">
      <c r="A8" s="4"/>
      <c r="B8" s="4"/>
      <c r="C8" s="13" t="s">
        <v>21</v>
      </c>
      <c r="D8" s="14" t="s">
        <v>22</v>
      </c>
      <c r="E8" s="15"/>
      <c r="F8" s="4"/>
      <c r="G8" s="8"/>
      <c r="H8" s="12"/>
      <c r="I8" s="12"/>
      <c r="J8" s="12"/>
      <c r="K8" s="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</row>
    <row r="9" spans="1:110" ht="15" customHeight="1">
      <c r="A9" s="4"/>
      <c r="B9" s="4"/>
      <c r="C9" s="5" t="s">
        <v>23</v>
      </c>
      <c r="D9" s="16"/>
      <c r="E9" s="17">
        <v>1.34</v>
      </c>
      <c r="F9" s="4"/>
      <c r="G9" s="8"/>
      <c r="H9" s="12"/>
      <c r="I9" s="12"/>
      <c r="J9" s="12"/>
      <c r="K9" s="1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</row>
    <row r="10" spans="1:110" ht="15" customHeight="1">
      <c r="A10" s="4"/>
      <c r="B10" s="4"/>
      <c r="C10" s="5" t="s">
        <v>24</v>
      </c>
      <c r="D10" s="16"/>
      <c r="E10" s="18" t="e">
        <f>#REF!</f>
        <v>#REF!</v>
      </c>
      <c r="F10" s="4"/>
      <c r="G10" s="8"/>
      <c r="H10" s="12"/>
      <c r="I10" s="12"/>
      <c r="J10" s="19"/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</row>
    <row r="11" spans="1:110" ht="15" customHeight="1">
      <c r="A11" s="4"/>
      <c r="B11" s="4"/>
      <c r="C11" s="5" t="s">
        <v>25</v>
      </c>
      <c r="D11" s="16"/>
      <c r="E11" s="20" t="s">
        <v>26</v>
      </c>
      <c r="F11" s="4"/>
      <c r="G11" s="8"/>
      <c r="H11" s="12"/>
      <c r="I11" s="12"/>
      <c r="J11" s="12"/>
      <c r="K11" s="1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</row>
    <row r="12" spans="1:110" ht="15" customHeight="1">
      <c r="A12" s="4"/>
      <c r="B12" s="4"/>
      <c r="C12" s="5" t="s">
        <v>27</v>
      </c>
      <c r="D12" s="4"/>
      <c r="E12" s="21" t="e">
        <f>COUNTIF(#REF!,"&gt;0")</f>
        <v>#REF!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</row>
    <row r="13" spans="1:110" ht="15" customHeight="1">
      <c r="A13" s="4"/>
      <c r="B13" s="4"/>
      <c r="C13" s="5" t="s">
        <v>28</v>
      </c>
      <c r="D13" s="4"/>
      <c r="E13" s="21" t="e">
        <f>COUNTIF(#REF!,"&gt;0")</f>
        <v>#REF!</v>
      </c>
      <c r="F13" s="4"/>
      <c r="G13" s="8"/>
      <c r="H13" s="22"/>
      <c r="I13" s="22"/>
      <c r="J13" s="22"/>
      <c r="K13" s="2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</row>
    <row r="14" spans="1:110" ht="15" customHeight="1">
      <c r="A14" s="4"/>
      <c r="B14" s="4"/>
      <c r="C14" s="5" t="s">
        <v>29</v>
      </c>
      <c r="D14" s="23"/>
      <c r="E14" s="24">
        <v>0.61</v>
      </c>
      <c r="F14" s="4"/>
      <c r="G14" s="8"/>
      <c r="H14" s="25"/>
      <c r="I14" s="25"/>
      <c r="J14" s="25"/>
      <c r="K14" s="2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</row>
    <row r="15" spans="1:110" ht="15" customHeight="1">
      <c r="A15" s="4"/>
      <c r="B15" s="4"/>
      <c r="C15" s="4"/>
      <c r="D15" s="23"/>
      <c r="E15" s="4"/>
      <c r="F15" s="4"/>
      <c r="G15" s="8"/>
      <c r="H15" s="25"/>
      <c r="I15" s="25"/>
      <c r="J15" s="25"/>
      <c r="K15" s="2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</row>
    <row r="16" spans="1:110" ht="18" customHeight="1">
      <c r="A16" s="4"/>
      <c r="B16" s="4"/>
      <c r="C16" s="13" t="s">
        <v>30</v>
      </c>
      <c r="D16" s="15"/>
      <c r="E16" s="15"/>
      <c r="F16" s="4"/>
      <c r="G16" s="8"/>
      <c r="H16" s="25"/>
      <c r="I16" s="25"/>
      <c r="J16" s="25"/>
      <c r="K16" s="2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</row>
    <row r="17" spans="1:110" ht="15" customHeight="1">
      <c r="A17" s="4"/>
      <c r="B17" s="4"/>
      <c r="C17" s="5" t="s">
        <v>31</v>
      </c>
      <c r="D17" s="4"/>
      <c r="E17" s="26" t="e">
        <f>#REF!/12</f>
        <v>#REF!</v>
      </c>
      <c r="F17" s="4"/>
      <c r="G17" s="8"/>
      <c r="H17" s="25"/>
      <c r="I17" s="25"/>
      <c r="J17" s="27"/>
      <c r="K17" s="2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</row>
    <row r="18" spans="1:110" ht="15" customHeight="1">
      <c r="A18" s="4"/>
      <c r="B18" s="4"/>
      <c r="C18" s="5" t="s">
        <v>32</v>
      </c>
      <c r="D18" s="28" t="e">
        <f>#REF!/#REF!</f>
        <v>#REF!</v>
      </c>
      <c r="E18" s="29" t="e">
        <f>#REF!/1000000</f>
        <v>#REF!</v>
      </c>
      <c r="F18" s="4"/>
      <c r="G18" s="8"/>
      <c r="H18" s="25"/>
      <c r="I18" s="25"/>
      <c r="J18" s="25"/>
      <c r="K18" s="2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</row>
    <row r="19" spans="1:110" ht="15" customHeight="1">
      <c r="A19" s="4"/>
      <c r="B19" s="4"/>
      <c r="C19" s="5" t="s">
        <v>33</v>
      </c>
      <c r="D19" s="4"/>
      <c r="E19" s="29" t="e">
        <f>#REF!/1000000</f>
        <v>#REF!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</row>
    <row r="20" spans="1:110" ht="15" customHeight="1">
      <c r="A20" s="4"/>
      <c r="B20" s="4"/>
      <c r="C20" s="5" t="s">
        <v>34</v>
      </c>
      <c r="D20" s="28" t="e">
        <f>#REF!/#REF!</f>
        <v>#REF!</v>
      </c>
      <c r="E20" s="29" t="e">
        <f>#REF!/1000000</f>
        <v>#REF!</v>
      </c>
      <c r="F20" s="4"/>
      <c r="G20" s="30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</row>
    <row r="21" spans="1:110" ht="15" customHeight="1">
      <c r="A21" s="4"/>
      <c r="B21" s="4"/>
      <c r="C21" s="5" t="s">
        <v>35</v>
      </c>
      <c r="D21" s="31"/>
      <c r="E21" s="29" t="e">
        <f>(#REF!+#REF!)/1000000</f>
        <v>#REF!</v>
      </c>
      <c r="F21" s="4"/>
      <c r="G21" s="30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</row>
    <row r="22" spans="1:110" ht="15" customHeight="1">
      <c r="A22" s="4"/>
      <c r="B22" s="4"/>
      <c r="C22" s="5" t="s">
        <v>36</v>
      </c>
      <c r="D22" s="28" t="e">
        <f>#REF!/#REF!</f>
        <v>#REF!</v>
      </c>
      <c r="E22" s="29" t="e">
        <f>#REF!/1000000</f>
        <v>#REF!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</row>
    <row r="23" spans="1:110" ht="15" customHeight="1">
      <c r="A23" s="4"/>
      <c r="B23" s="4"/>
      <c r="C23" s="5" t="s">
        <v>37</v>
      </c>
      <c r="D23" s="32"/>
      <c r="E23" s="33" t="e">
        <f>#REF!</f>
        <v>#REF!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</row>
    <row r="24" spans="1:110" ht="15" customHeight="1">
      <c r="A24" s="4"/>
      <c r="B24" s="4"/>
      <c r="C24" s="5" t="s">
        <v>38</v>
      </c>
      <c r="D24" s="32"/>
      <c r="E24" s="33" t="e">
        <f>#REF!</f>
        <v>#REF!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</row>
    <row r="25" spans="1:110" ht="15" customHeight="1">
      <c r="A25" s="4"/>
      <c r="B25" s="4"/>
      <c r="C25" s="5" t="s">
        <v>39</v>
      </c>
      <c r="D25" s="34"/>
      <c r="E25" s="35">
        <v>5.0500000000000003E-2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</row>
    <row r="26" spans="1:110" ht="15" customHeight="1">
      <c r="A26" s="4"/>
      <c r="B26" s="4"/>
      <c r="C26" s="5" t="s">
        <v>40</v>
      </c>
      <c r="D26" s="31"/>
      <c r="E26" s="33" t="e">
        <f>#REF!/#REF!</f>
        <v>#REF!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</row>
    <row r="27" spans="1:110" ht="15" customHeight="1">
      <c r="A27" s="4"/>
      <c r="B27" s="4"/>
      <c r="C27" s="5" t="s">
        <v>41</v>
      </c>
      <c r="D27" s="4"/>
      <c r="E27" s="33" t="e">
        <f>#REF!*#REF!/#REF!</f>
        <v>#REF!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</row>
    <row r="28" spans="1:110" ht="15" customHeight="1">
      <c r="A28" s="4"/>
      <c r="B28" s="4"/>
      <c r="C28" s="5" t="s">
        <v>42</v>
      </c>
      <c r="D28" s="36"/>
      <c r="E28" s="33" t="e">
        <f>#REF!/#REF!</f>
        <v>#REF!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</row>
    <row r="29" spans="1:110" ht="15" customHeight="1">
      <c r="A29" s="4"/>
      <c r="B29" s="4"/>
      <c r="C29" s="4"/>
      <c r="D29" s="36"/>
      <c r="E29" s="3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</row>
    <row r="30" spans="1:110" ht="18" customHeight="1">
      <c r="A30" s="4"/>
      <c r="B30" s="4"/>
      <c r="C30" s="13" t="s">
        <v>43</v>
      </c>
      <c r="D30" s="15"/>
      <c r="E30" s="3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</row>
    <row r="31" spans="1:110" ht="15" customHeight="1">
      <c r="A31" s="4"/>
      <c r="B31" s="4"/>
      <c r="C31" s="5" t="s">
        <v>44</v>
      </c>
      <c r="D31" s="28" t="e">
        <f>#REF!/#REF!</f>
        <v>#REF!</v>
      </c>
      <c r="E31" s="29" t="e">
        <f>#REF!/1000000</f>
        <v>#REF!</v>
      </c>
      <c r="F31" s="32"/>
      <c r="G31" s="3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</row>
    <row r="32" spans="1:110" ht="15" customHeight="1">
      <c r="A32" s="4"/>
      <c r="B32" s="4"/>
      <c r="C32" s="5" t="s">
        <v>45</v>
      </c>
      <c r="D32" s="28" t="e">
        <f>#REF!/#REF!</f>
        <v>#REF!</v>
      </c>
      <c r="E32" s="29" t="e">
        <f>#REF!/1000000</f>
        <v>#REF!</v>
      </c>
      <c r="F32" s="4"/>
      <c r="G32" s="3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</row>
    <row r="33" spans="1:110" ht="15" customHeight="1">
      <c r="A33" s="4"/>
      <c r="B33" s="4"/>
      <c r="C33" s="5" t="s">
        <v>1</v>
      </c>
      <c r="D33" s="36"/>
      <c r="E33" s="33" t="e">
        <f>#REF!</f>
        <v>#REF!</v>
      </c>
      <c r="F33" s="32"/>
      <c r="G33" s="3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</row>
    <row r="34" spans="1:110" ht="15" customHeight="1">
      <c r="A34" s="4"/>
      <c r="B34" s="4"/>
      <c r="C34" s="4"/>
      <c r="D34" s="31"/>
      <c r="E34" s="25"/>
      <c r="F34" s="32"/>
      <c r="G34" s="3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</row>
    <row r="35" spans="1:110" ht="18" customHeight="1">
      <c r="A35" s="4"/>
      <c r="B35" s="4"/>
      <c r="C35" s="13" t="s">
        <v>46</v>
      </c>
      <c r="D35" s="15"/>
      <c r="E35" s="15"/>
      <c r="F35" s="4"/>
      <c r="G35" s="3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</row>
    <row r="36" spans="1:110" ht="15" customHeight="1">
      <c r="A36" s="4"/>
      <c r="B36" s="4"/>
      <c r="C36" s="5" t="s">
        <v>47</v>
      </c>
      <c r="D36" s="28" t="e">
        <f>-#REF!/#REF!</f>
        <v>#REF!</v>
      </c>
      <c r="E36" s="39" t="e">
        <f>-#REF!/1000000</f>
        <v>#REF!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</row>
    <row r="37" spans="1:110" ht="15" customHeight="1">
      <c r="A37" s="4"/>
      <c r="B37" s="4"/>
      <c r="C37" s="4"/>
      <c r="D37" s="4"/>
      <c r="E37" s="3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</row>
    <row r="38" spans="1:110" ht="18" customHeight="1">
      <c r="A38" s="4"/>
      <c r="B38" s="4"/>
      <c r="C38" s="13" t="s">
        <v>48</v>
      </c>
      <c r="D38" s="15"/>
      <c r="E38" s="3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</row>
    <row r="39" spans="1:110" ht="15" customHeight="1">
      <c r="A39" s="4"/>
      <c r="B39" s="4"/>
      <c r="C39" s="5" t="s">
        <v>49</v>
      </c>
      <c r="D39" s="31"/>
      <c r="E39" s="40" t="e">
        <f>#REF!</f>
        <v>#REF!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</row>
    <row r="40" spans="1:110" ht="15" customHeight="1">
      <c r="A40" s="4"/>
      <c r="B40" s="4"/>
      <c r="C40" s="5" t="s">
        <v>50</v>
      </c>
      <c r="D40" s="31"/>
      <c r="E40" s="40" t="e">
        <f>#REF!/#REF!</f>
        <v>#REF!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</row>
    <row r="41" spans="1:110" ht="15" customHeight="1">
      <c r="A41" s="4"/>
      <c r="B41" s="4"/>
      <c r="C41" s="5" t="s">
        <v>51</v>
      </c>
      <c r="D41" s="28" t="e">
        <f>#REF!/#REF!</f>
        <v>#REF!</v>
      </c>
      <c r="E41" s="29" t="e">
        <f>#REF!/1000000</f>
        <v>#REF!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</row>
    <row r="42" spans="1:110" ht="15" customHeight="1">
      <c r="A42" s="4"/>
      <c r="B42" s="4"/>
      <c r="C42" s="5" t="s">
        <v>52</v>
      </c>
      <c r="D42" s="28" t="e">
        <f>(#REF!-#REF!)/#REF!</f>
        <v>#REF!</v>
      </c>
      <c r="E42" s="29" t="e">
        <f>(#REF!-#REF!)/1000000</f>
        <v>#REF!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</row>
    <row r="43" spans="1:110" ht="15" customHeight="1">
      <c r="A43" s="4"/>
      <c r="B43" s="4"/>
      <c r="C43" s="5" t="s">
        <v>53</v>
      </c>
      <c r="D43" s="28" t="e">
        <f>#REF!/#REF!</f>
        <v>#REF!</v>
      </c>
      <c r="E43" s="29" t="e">
        <f>-#REF!/1000000</f>
        <v>#REF!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</row>
    <row r="44" spans="1:110" ht="15" customHeight="1">
      <c r="A44" s="4"/>
      <c r="B44" s="4"/>
      <c r="C44" s="5" t="s">
        <v>54</v>
      </c>
      <c r="D44" s="31"/>
      <c r="E44" s="33" t="e">
        <f>#REF!</f>
        <v>#REF!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</row>
    <row r="45" spans="1:110" ht="15" customHeight="1">
      <c r="A45" s="4"/>
      <c r="B45" s="4"/>
      <c r="C45" s="41" t="s">
        <v>3</v>
      </c>
      <c r="D45" s="25"/>
      <c r="E45" s="33" t="e">
        <f>#REF!</f>
        <v>#REF!</v>
      </c>
      <c r="F45" s="3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</row>
    <row r="46" spans="1:110" ht="15" customHeight="1">
      <c r="A46" s="4"/>
      <c r="B46" s="4"/>
      <c r="C46" s="41" t="s">
        <v>55</v>
      </c>
      <c r="D46" s="28" t="e">
        <f>-#REF!/#REF!</f>
        <v>#REF!</v>
      </c>
      <c r="E46" s="29" t="e">
        <f>-#REF!/1000000</f>
        <v>#REF!</v>
      </c>
      <c r="F46" s="3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</row>
    <row r="47" spans="1:110" ht="15" customHeight="1">
      <c r="A47" s="4"/>
      <c r="B47" s="4"/>
      <c r="C47" s="12"/>
      <c r="D47" s="25"/>
      <c r="E47" s="37"/>
      <c r="F47" s="3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</row>
    <row r="48" spans="1:110" ht="18" customHeight="1">
      <c r="A48" s="4"/>
      <c r="B48" s="4"/>
      <c r="C48" s="42" t="s">
        <v>56</v>
      </c>
      <c r="D48" s="43"/>
      <c r="E48" s="44"/>
      <c r="F48" s="3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</row>
    <row r="49" spans="1:110" ht="15" customHeight="1">
      <c r="A49" s="4"/>
      <c r="B49" s="4"/>
      <c r="C49" s="41" t="s">
        <v>57</v>
      </c>
      <c r="D49" s="45" t="e">
        <f>-#REF!/#REF!</f>
        <v>#REF!</v>
      </c>
      <c r="E49" s="29" t="e">
        <f>-#REF!/1000000</f>
        <v>#REF!</v>
      </c>
      <c r="F49" s="3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</row>
    <row r="50" spans="1:110" ht="15" customHeight="1">
      <c r="A50" s="4"/>
      <c r="B50" s="4"/>
      <c r="C50" s="41" t="s">
        <v>35</v>
      </c>
      <c r="D50" s="45" t="e">
        <f>-#REF!/#REF!</f>
        <v>#REF!</v>
      </c>
      <c r="E50" s="29" t="e">
        <f>-#REF!/1000000</f>
        <v>#REF!</v>
      </c>
      <c r="F50" s="3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</row>
    <row r="51" spans="1:110" ht="15" customHeight="1">
      <c r="A51" s="4"/>
      <c r="B51" s="4"/>
      <c r="C51" s="41" t="s">
        <v>58</v>
      </c>
      <c r="D51" s="45" t="e">
        <f>#REF!/#REF!</f>
        <v>#REF!</v>
      </c>
      <c r="E51" s="29" t="e">
        <f>#REF!/1000000</f>
        <v>#REF!</v>
      </c>
      <c r="F51" s="3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</row>
    <row r="52" spans="1:110" ht="15" customHeight="1">
      <c r="A52" s="4"/>
      <c r="B52" s="4"/>
      <c r="C52" s="5" t="s">
        <v>59</v>
      </c>
      <c r="D52" s="45" t="e">
        <f>#REF!/#REF!</f>
        <v>#REF!</v>
      </c>
      <c r="E52" s="29" t="e">
        <f>#REF!/1000000</f>
        <v>#REF!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</row>
    <row r="53" spans="1:110" ht="15" customHeight="1">
      <c r="A53" s="4"/>
      <c r="B53" s="4"/>
      <c r="C53" s="5" t="s">
        <v>60</v>
      </c>
      <c r="D53" s="45" t="e">
        <f>#REF!/#REF!</f>
        <v>#REF!</v>
      </c>
      <c r="E53" s="29" t="e">
        <f>#REF!/1000000</f>
        <v>#REF!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</row>
    <row r="54" spans="1:110" ht="15" customHeight="1">
      <c r="A54" s="4"/>
      <c r="B54" s="4"/>
      <c r="C54" s="41" t="s">
        <v>6</v>
      </c>
      <c r="D54" s="45" t="e">
        <f>-#REF!/#REF!</f>
        <v>#REF!</v>
      </c>
      <c r="E54" s="29" t="e">
        <f>-#REF!/1000000</f>
        <v>#REF!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</row>
    <row r="55" spans="1:110" ht="15" customHeight="1">
      <c r="A55" s="4"/>
      <c r="B55" s="4"/>
      <c r="C55" s="46" t="s">
        <v>56</v>
      </c>
      <c r="D55" s="47" t="e">
        <f>SUM(D49:D54)</f>
        <v>#REF!</v>
      </c>
      <c r="E55" s="48" t="e">
        <f>SUM(E49:E54)</f>
        <v>#REF!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</row>
    <row r="56" spans="1:110" ht="15" customHeight="1">
      <c r="A56" s="4"/>
      <c r="B56" s="4"/>
      <c r="C56" s="12"/>
      <c r="D56" s="4"/>
      <c r="E56" s="3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</row>
    <row r="57" spans="1:110" ht="18" customHeight="1">
      <c r="A57" s="4"/>
      <c r="B57" s="4"/>
      <c r="C57" s="42" t="s">
        <v>61</v>
      </c>
      <c r="D57" s="15"/>
      <c r="E57" s="1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</row>
    <row r="58" spans="1:110" ht="15" customHeight="1">
      <c r="A58" s="4"/>
      <c r="B58" s="4"/>
      <c r="C58" s="41" t="s">
        <v>62</v>
      </c>
      <c r="D58" s="28" t="e">
        <f>#REF!/#REF!</f>
        <v>#REF!</v>
      </c>
      <c r="E58" s="49" t="e">
        <f>#REF!/1000000</f>
        <v>#REF!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</row>
    <row r="59" spans="1:110" ht="15" customHeight="1">
      <c r="A59" s="4"/>
      <c r="B59" s="4"/>
      <c r="C59" s="41" t="s">
        <v>63</v>
      </c>
      <c r="D59" s="28" t="e">
        <f>#REF!/#REF!</f>
        <v>#REF!</v>
      </c>
      <c r="E59" s="49" t="e">
        <f>#REF!/1000000</f>
        <v>#REF!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</row>
    <row r="60" spans="1:110" ht="15" customHeight="1">
      <c r="A60" s="4"/>
      <c r="B60" s="4"/>
      <c r="C60" s="46" t="s">
        <v>61</v>
      </c>
      <c r="D60" s="50" t="e">
        <f>SUM(D58:D59)</f>
        <v>#REF!</v>
      </c>
      <c r="E60" s="51" t="e">
        <f>SUM(E58:E59)</f>
        <v>#REF!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</row>
    <row r="61" spans="1:110" ht="15" customHeight="1">
      <c r="A61" s="4"/>
      <c r="B61" s="4"/>
      <c r="C61" s="4"/>
      <c r="D61" s="4"/>
      <c r="E61" s="3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</row>
    <row r="62" spans="1:110" ht="18" customHeight="1">
      <c r="A62" s="4"/>
      <c r="B62" s="4"/>
      <c r="C62" s="13" t="s">
        <v>0</v>
      </c>
      <c r="D62" s="15"/>
      <c r="E62" s="1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</row>
    <row r="63" spans="1:110" ht="15" customHeight="1">
      <c r="A63" s="4"/>
      <c r="B63" s="4"/>
      <c r="C63" s="5" t="s">
        <v>64</v>
      </c>
      <c r="D63" s="4"/>
      <c r="E63" s="33" t="e">
        <f>#REF!</f>
        <v>#REF!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</row>
    <row r="64" spans="1:110" ht="15" customHeight="1">
      <c r="A64" s="4"/>
      <c r="B64" s="4"/>
      <c r="C64" s="5" t="s">
        <v>65</v>
      </c>
      <c r="D64" s="4"/>
      <c r="E64" s="33" t="e">
        <f>#REF!*1.13/#REF!</f>
        <v>#REF!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</row>
    <row r="65" spans="1:110" ht="15" customHeight="1">
      <c r="A65" s="4"/>
      <c r="B65" s="4"/>
      <c r="C65" s="5" t="s">
        <v>66</v>
      </c>
      <c r="D65" s="28" t="e">
        <f>#REF!*0.812/#REF!</f>
        <v>#REF!</v>
      </c>
      <c r="E65" s="49" t="e">
        <f>#REF!*0.812/1000000</f>
        <v>#REF!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</row>
    <row r="66" spans="1:110" ht="15" customHeight="1">
      <c r="A66" s="4"/>
      <c r="B66" s="4"/>
      <c r="C66" s="5" t="s">
        <v>67</v>
      </c>
      <c r="D66" s="28" t="e">
        <f>#REF!*1.13/#REF!</f>
        <v>#REF!</v>
      </c>
      <c r="E66" s="49" t="e">
        <f>#REF!*1.13/1000000</f>
        <v>#REF!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</row>
    <row r="67" spans="1:110" ht="15" customHeight="1">
      <c r="A67" s="4"/>
      <c r="B67" s="4"/>
      <c r="C67" s="5" t="s">
        <v>68</v>
      </c>
      <c r="D67" s="4"/>
      <c r="E67" s="33" t="e">
        <f>#REF!</f>
        <v>#REF!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</row>
    <row r="68" spans="1:110" ht="15" customHeight="1">
      <c r="A68" s="4"/>
      <c r="B68" s="4"/>
      <c r="C68" s="5" t="s">
        <v>69</v>
      </c>
      <c r="D68" s="28" t="e">
        <f>#REF!/#REF!</f>
        <v>#REF!</v>
      </c>
      <c r="E68" s="49" t="e">
        <f>#REF!/1000000</f>
        <v>#REF!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</row>
    <row r="69" spans="1:110" ht="15" customHeight="1">
      <c r="A69" s="4"/>
      <c r="B69" s="4"/>
      <c r="C69" s="5" t="s">
        <v>70</v>
      </c>
      <c r="D69" s="45" t="e">
        <f>#REF!/#REF!</f>
        <v>#REF!</v>
      </c>
      <c r="E69" s="52" t="e">
        <f>#REF!/1000000</f>
        <v>#REF!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</row>
    <row r="70" spans="1:110" ht="15" customHeight="1">
      <c r="A70" s="4"/>
      <c r="B70" s="4"/>
      <c r="C70" s="5" t="s">
        <v>35</v>
      </c>
      <c r="D70" s="45" t="e">
        <f>#REF!/#REF!</f>
        <v>#REF!</v>
      </c>
      <c r="E70" s="52" t="e">
        <f>#REF!/1000000</f>
        <v>#REF!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</row>
    <row r="71" spans="1:110" ht="15" customHeight="1">
      <c r="A71" s="4"/>
      <c r="B71" s="4"/>
      <c r="C71" s="5" t="s">
        <v>71</v>
      </c>
      <c r="D71" s="28" t="e">
        <f>(#REF!+#REF!+#REF!)/#REF!</f>
        <v>#REF!</v>
      </c>
      <c r="E71" s="49" t="e">
        <f>(#REF!+#REF!+#REF!)/1000000</f>
        <v>#REF!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</row>
    <row r="72" spans="1:110" ht="15" customHeight="1">
      <c r="A72" s="4"/>
      <c r="B72" s="4"/>
      <c r="C72" s="5" t="s">
        <v>6</v>
      </c>
      <c r="D72" s="45" t="e">
        <f>#REF!/#REF!</f>
        <v>#REF!</v>
      </c>
      <c r="E72" s="52" t="e">
        <f>#REF!/1000000</f>
        <v>#REF!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</row>
    <row r="73" spans="1:110" ht="15" customHeight="1">
      <c r="A73" s="4"/>
      <c r="B73" s="4"/>
      <c r="C73" s="5" t="s">
        <v>72</v>
      </c>
      <c r="D73" s="45" t="e">
        <f>#REF!/#REF!</f>
        <v>#REF!</v>
      </c>
      <c r="E73" s="52" t="e">
        <f>#REF!/1000000</f>
        <v>#REF!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</row>
    <row r="74" spans="1:110" ht="15" customHeight="1">
      <c r="A74" s="4"/>
      <c r="B74" s="4"/>
      <c r="C74" s="5" t="s">
        <v>73</v>
      </c>
      <c r="D74" s="4"/>
      <c r="E74" s="53">
        <v>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</row>
    <row r="75" spans="1:110" ht="15" customHeight="1">
      <c r="A75" s="4"/>
      <c r="B75" s="4"/>
      <c r="C75" s="54" t="s">
        <v>74</v>
      </c>
      <c r="D75" s="50" t="e">
        <f>(#REF!+#REF!+#REF!+#REF!+#REF!)/#REF!</f>
        <v>#REF!</v>
      </c>
      <c r="E75" s="51" t="e">
        <f>(#REF!+#REF!+#REF!+#REF!+#REF!)/1000000</f>
        <v>#REF!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</row>
    <row r="76" spans="1:110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</row>
    <row r="77" spans="1:110" ht="18" customHeight="1">
      <c r="A77" s="4"/>
      <c r="B77" s="4"/>
      <c r="C77" s="13" t="s">
        <v>75</v>
      </c>
      <c r="D77" s="15"/>
      <c r="E77" s="1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</row>
    <row r="78" spans="1:110" ht="15" customHeight="1">
      <c r="A78" s="4"/>
      <c r="B78" s="4"/>
      <c r="C78" s="5" t="s">
        <v>76</v>
      </c>
      <c r="D78" s="4"/>
      <c r="E78" s="33" t="e">
        <f>#REF!</f>
        <v>#REF!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</row>
    <row r="79" spans="1:110" ht="15" customHeight="1">
      <c r="A79" s="4"/>
      <c r="B79" s="4"/>
      <c r="C79" s="5" t="s">
        <v>77</v>
      </c>
      <c r="D79" s="4"/>
      <c r="E79" s="55" t="e">
        <f>#REF!</f>
        <v>#REF!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</row>
    <row r="80" spans="1:110" ht="15" customHeight="1">
      <c r="A80" s="4"/>
      <c r="B80" s="4"/>
      <c r="C80" s="5" t="s">
        <v>78</v>
      </c>
      <c r="D80" s="4"/>
      <c r="E80" s="49" t="e">
        <f>#REF!/1000000</f>
        <v>#REF!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</row>
    <row r="81" spans="1:110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</row>
    <row r="82" spans="1:110" ht="18" customHeight="1">
      <c r="A82" s="4"/>
      <c r="B82" s="4"/>
      <c r="C82" s="13" t="s">
        <v>79</v>
      </c>
      <c r="D82" s="15"/>
      <c r="E82" s="1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</row>
    <row r="83" spans="1:110" ht="15" customHeight="1">
      <c r="A83" s="4"/>
      <c r="B83" s="4"/>
      <c r="C83" s="5" t="s">
        <v>76</v>
      </c>
      <c r="D83" s="4"/>
      <c r="E83" s="33" t="e">
        <f>#REF!</f>
        <v>#REF!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</row>
    <row r="84" spans="1:110" ht="15" customHeight="1">
      <c r="A84" s="4"/>
      <c r="B84" s="4"/>
      <c r="C84" s="5" t="s">
        <v>77</v>
      </c>
      <c r="D84" s="4"/>
      <c r="E84" s="55" t="e">
        <f>#REF!</f>
        <v>#REF!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</row>
    <row r="85" spans="1:110" ht="15" customHeight="1">
      <c r="A85" s="4"/>
      <c r="B85" s="4"/>
      <c r="C85" s="5" t="s">
        <v>78</v>
      </c>
      <c r="D85" s="4"/>
      <c r="E85" s="49" t="e">
        <f>#REF!/1000000</f>
        <v>#REF!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</row>
    <row r="86" spans="1:110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</row>
    <row r="87" spans="1:110" ht="18" customHeight="1">
      <c r="A87" s="4"/>
      <c r="B87" s="4"/>
      <c r="C87" s="13" t="s">
        <v>80</v>
      </c>
      <c r="D87" s="15"/>
      <c r="E87" s="1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</row>
    <row r="88" spans="1:110" ht="15" customHeight="1">
      <c r="A88" s="4"/>
      <c r="B88" s="4"/>
      <c r="C88" s="5" t="s">
        <v>76</v>
      </c>
      <c r="D88" s="4"/>
      <c r="E88" s="33" t="e">
        <f>#REF!</f>
        <v>#REF!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</row>
    <row r="89" spans="1:110" ht="15" customHeight="1">
      <c r="A89" s="4"/>
      <c r="B89" s="4"/>
      <c r="C89" s="5" t="s">
        <v>77</v>
      </c>
      <c r="D89" s="4"/>
      <c r="E89" s="55" t="e">
        <f>#REF!</f>
        <v>#REF!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</row>
    <row r="90" spans="1:110" ht="15" customHeight="1">
      <c r="A90" s="4"/>
      <c r="B90" s="4"/>
      <c r="C90" s="5" t="s">
        <v>78</v>
      </c>
      <c r="D90" s="4"/>
      <c r="E90" s="49" t="e">
        <f>#REF!/1000000</f>
        <v>#REF!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</row>
    <row r="91" spans="1:110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</row>
    <row r="92" spans="1:110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</row>
    <row r="93" spans="1:110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</row>
    <row r="94" spans="1:110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</row>
    <row r="95" spans="1:110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</row>
    <row r="96" spans="1:110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</row>
    <row r="97" spans="1:110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</row>
    <row r="98" spans="1:110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</row>
    <row r="99" spans="1:110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</row>
    <row r="100" spans="1:110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</row>
    <row r="101" spans="1:110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</row>
    <row r="102" spans="1:110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</row>
    <row r="103" spans="1:110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</row>
    <row r="104" spans="1:110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</row>
    <row r="105" spans="1:110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</row>
    <row r="106" spans="1:110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</row>
    <row r="107" spans="1:110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</row>
    <row r="108" spans="1:110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</row>
    <row r="109" spans="1:110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</row>
    <row r="110" spans="1:110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</row>
    <row r="111" spans="1:110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</row>
    <row r="112" spans="1:110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</row>
    <row r="113" spans="1:110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</row>
    <row r="114" spans="1:110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</row>
    <row r="115" spans="1:110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</row>
    <row r="116" spans="1:110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</row>
    <row r="117" spans="1:110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</row>
    <row r="118" spans="1:110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</row>
    <row r="119" spans="1:110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</row>
    <row r="120" spans="1:110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</row>
    <row r="121" spans="1:110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</row>
    <row r="122" spans="1:110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</row>
    <row r="123" spans="1:110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</row>
    <row r="124" spans="1:110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</row>
    <row r="125" spans="1:110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</row>
    <row r="126" spans="1:110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</row>
    <row r="127" spans="1:110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</row>
    <row r="128" spans="1:110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</row>
    <row r="129" spans="1:110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</row>
    <row r="130" spans="1:110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</row>
    <row r="131" spans="1:110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</row>
    <row r="132" spans="1:110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</row>
    <row r="133" spans="1:110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</row>
    <row r="134" spans="1:110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</row>
    <row r="135" spans="1:110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</row>
    <row r="136" spans="1:110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</row>
    <row r="137" spans="1:110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</row>
    <row r="138" spans="1:110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</row>
    <row r="139" spans="1:110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</row>
    <row r="140" spans="1:110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</row>
    <row r="141" spans="1:110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</row>
    <row r="142" spans="1:110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</row>
    <row r="143" spans="1:110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</row>
    <row r="144" spans="1:110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</row>
    <row r="145" spans="1:110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</row>
    <row r="146" spans="1:110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</row>
    <row r="147" spans="1:110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</row>
    <row r="148" spans="1:110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</row>
    <row r="149" spans="1:110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</row>
    <row r="150" spans="1:110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</row>
    <row r="151" spans="1:110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</row>
    <row r="152" spans="1:110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</row>
    <row r="153" spans="1:110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</row>
    <row r="154" spans="1:110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</row>
    <row r="155" spans="1:110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</row>
    <row r="156" spans="1:110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</row>
    <row r="157" spans="1:110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</row>
    <row r="158" spans="1:110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</row>
    <row r="159" spans="1:110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</row>
    <row r="160" spans="1:110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</row>
    <row r="161" spans="1:110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</row>
    <row r="162" spans="1:110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</row>
    <row r="163" spans="1:110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</row>
    <row r="164" spans="1:110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</row>
    <row r="165" spans="1:110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</row>
    <row r="166" spans="1:110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</row>
    <row r="167" spans="1:110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</row>
    <row r="168" spans="1:110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</row>
    <row r="169" spans="1:110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</row>
    <row r="170" spans="1:110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</row>
    <row r="171" spans="1:110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</row>
    <row r="172" spans="1:110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</row>
    <row r="173" spans="1:110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</row>
    <row r="174" spans="1:110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</row>
    <row r="175" spans="1:110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</row>
    <row r="176" spans="1:110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</row>
    <row r="177" spans="1:110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</row>
    <row r="178" spans="1:110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</row>
    <row r="179" spans="1:110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</row>
    <row r="180" spans="1:110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</row>
    <row r="181" spans="1:110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</row>
    <row r="182" spans="1:110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</row>
    <row r="183" spans="1:110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</row>
    <row r="184" spans="1:110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</row>
    <row r="185" spans="1:110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</row>
    <row r="186" spans="1:110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</row>
    <row r="187" spans="1:110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</row>
    <row r="188" spans="1:110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</row>
    <row r="189" spans="1:110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3"/>
  <sheetViews>
    <sheetView tabSelected="1" zoomScaleNormal="100" workbookViewId="0">
      <selection activeCell="A6" sqref="A6"/>
    </sheetView>
  </sheetViews>
  <sheetFormatPr defaultColWidth="8.6640625" defaultRowHeight="14.25"/>
  <cols>
    <col min="1" max="1" width="17.86328125" customWidth="1"/>
    <col min="2" max="2" width="26.73046875" customWidth="1"/>
    <col min="3" max="3" width="10.73046875" customWidth="1"/>
    <col min="4" max="9" width="14.1328125" customWidth="1"/>
    <col min="10" max="11" width="10.73046875" customWidth="1"/>
    <col min="12" max="12" width="16" customWidth="1"/>
    <col min="13" max="23" width="14.1328125" customWidth="1"/>
    <col min="24" max="24" width="10.73046875" customWidth="1"/>
    <col min="25" max="27" width="12.3984375" customWidth="1"/>
    <col min="28" max="28" width="53.265625" customWidth="1"/>
  </cols>
  <sheetData>
    <row r="1" spans="1:28" s="56" customFormat="1" ht="49.5" customHeight="1">
      <c r="A1" s="57" t="s">
        <v>84</v>
      </c>
      <c r="B1" s="57" t="s">
        <v>83</v>
      </c>
      <c r="C1" s="57" t="s">
        <v>91</v>
      </c>
      <c r="D1" s="57" t="s">
        <v>89</v>
      </c>
      <c r="E1" s="57" t="s">
        <v>92</v>
      </c>
      <c r="F1" s="57" t="s">
        <v>93</v>
      </c>
      <c r="G1" s="57" t="s">
        <v>94</v>
      </c>
      <c r="H1" s="57" t="s">
        <v>88</v>
      </c>
      <c r="I1" s="57" t="s">
        <v>95</v>
      </c>
      <c r="J1" s="57" t="s">
        <v>96</v>
      </c>
      <c r="K1" s="57" t="s">
        <v>97</v>
      </c>
      <c r="L1" s="57" t="s">
        <v>98</v>
      </c>
      <c r="M1" s="57" t="s">
        <v>99</v>
      </c>
      <c r="N1" s="57"/>
      <c r="O1" s="57" t="s">
        <v>100</v>
      </c>
      <c r="P1" s="57" t="s">
        <v>101</v>
      </c>
      <c r="Q1" s="57" t="s">
        <v>102</v>
      </c>
      <c r="R1" s="57" t="s">
        <v>4</v>
      </c>
      <c r="S1" s="57" t="s">
        <v>7</v>
      </c>
      <c r="T1" s="57" t="s">
        <v>2</v>
      </c>
      <c r="U1" s="57" t="s">
        <v>0</v>
      </c>
      <c r="V1" s="57"/>
      <c r="W1" s="57"/>
      <c r="X1" s="57" t="s">
        <v>103</v>
      </c>
      <c r="Y1" s="57" t="s">
        <v>85</v>
      </c>
      <c r="Z1" s="57" t="s">
        <v>104</v>
      </c>
      <c r="AA1" s="57" t="s">
        <v>105</v>
      </c>
      <c r="AB1" s="57" t="s">
        <v>90</v>
      </c>
    </row>
    <row r="2" spans="1:28" s="56" customFormat="1" ht="17.25" customHeight="1">
      <c r="A2" s="58" t="s">
        <v>106</v>
      </c>
      <c r="B2" s="58" t="s">
        <v>107</v>
      </c>
      <c r="C2" s="59">
        <v>13517</v>
      </c>
      <c r="D2" s="60" t="s">
        <v>108</v>
      </c>
      <c r="E2" s="60" t="s">
        <v>109</v>
      </c>
      <c r="F2" s="60" t="s">
        <v>109</v>
      </c>
      <c r="G2" s="60" t="s">
        <v>110</v>
      </c>
      <c r="H2" s="60" t="s">
        <v>87</v>
      </c>
      <c r="I2" s="60" t="s">
        <v>87</v>
      </c>
      <c r="J2" s="61">
        <v>3.3</v>
      </c>
      <c r="K2" s="61">
        <v>8.3000000000000007</v>
      </c>
      <c r="L2" s="62">
        <v>142570</v>
      </c>
      <c r="M2" s="63">
        <v>10.55</v>
      </c>
      <c r="N2" s="64"/>
      <c r="O2" s="64"/>
      <c r="P2" s="64"/>
      <c r="Q2" s="63"/>
      <c r="R2" s="63"/>
      <c r="S2" s="63">
        <v>12.5</v>
      </c>
      <c r="T2" s="65">
        <v>7.2499999999999995E-2</v>
      </c>
      <c r="U2" s="65">
        <f t="shared" ref="U2:U5" si="0">0.0525</f>
        <v>5.2499999999999998E-2</v>
      </c>
      <c r="V2" s="63"/>
      <c r="W2" s="63"/>
      <c r="X2" s="66">
        <v>0.08</v>
      </c>
      <c r="Y2" s="61" t="s">
        <v>111</v>
      </c>
      <c r="Z2" s="61" t="s">
        <v>112</v>
      </c>
      <c r="AA2" s="61" t="s">
        <v>113</v>
      </c>
      <c r="AB2" s="67" t="s">
        <v>114</v>
      </c>
    </row>
    <row r="3" spans="1:28" s="56" customFormat="1" ht="14.25" customHeight="1">
      <c r="A3" s="56" t="s">
        <v>115</v>
      </c>
      <c r="B3" s="56" t="s">
        <v>116</v>
      </c>
      <c r="C3" s="68">
        <v>9994</v>
      </c>
      <c r="D3" s="69" t="s">
        <v>117</v>
      </c>
      <c r="E3" s="70"/>
      <c r="F3" s="70"/>
      <c r="G3" s="71" t="s">
        <v>118</v>
      </c>
      <c r="H3" s="71"/>
      <c r="I3" s="71" t="s">
        <v>87</v>
      </c>
      <c r="J3" s="61">
        <v>0.8</v>
      </c>
      <c r="K3" s="61">
        <v>0.8</v>
      </c>
      <c r="L3" s="72">
        <v>82731</v>
      </c>
      <c r="M3" s="73">
        <v>8.2799999999999994</v>
      </c>
      <c r="N3" s="74"/>
      <c r="O3" s="74"/>
      <c r="P3" s="74"/>
      <c r="Q3" s="74"/>
      <c r="R3" s="73"/>
      <c r="S3" s="63">
        <v>12.5</v>
      </c>
      <c r="T3" s="65">
        <v>7.2499999999999995E-2</v>
      </c>
      <c r="U3" s="65">
        <f t="shared" si="0"/>
        <v>5.2499999999999998E-2</v>
      </c>
      <c r="V3" s="73"/>
      <c r="W3" s="73"/>
      <c r="X3" s="75">
        <v>0.04</v>
      </c>
      <c r="Y3" s="76" t="s">
        <v>111</v>
      </c>
      <c r="Z3" s="76" t="s">
        <v>112</v>
      </c>
      <c r="AA3" s="76" t="s">
        <v>119</v>
      </c>
      <c r="AB3" s="77"/>
    </row>
    <row r="4" spans="1:28" s="56" customFormat="1" ht="28.5" customHeight="1">
      <c r="A4" s="58" t="s">
        <v>120</v>
      </c>
      <c r="B4" s="58" t="s">
        <v>121</v>
      </c>
      <c r="C4" s="59">
        <v>8652</v>
      </c>
      <c r="D4" s="60" t="s">
        <v>122</v>
      </c>
      <c r="E4" s="78" t="s">
        <v>123</v>
      </c>
      <c r="F4" s="79"/>
      <c r="G4" s="80" t="s">
        <v>124</v>
      </c>
      <c r="H4" s="80" t="s">
        <v>86</v>
      </c>
      <c r="I4" s="80" t="s">
        <v>87</v>
      </c>
      <c r="J4" s="61">
        <v>1.8</v>
      </c>
      <c r="K4" s="61">
        <v>3.8</v>
      </c>
      <c r="L4" s="62">
        <v>86600</v>
      </c>
      <c r="M4" s="63">
        <v>10.01</v>
      </c>
      <c r="N4" s="64"/>
      <c r="O4" s="74"/>
      <c r="P4" s="74">
        <v>12</v>
      </c>
      <c r="Q4" s="74">
        <v>6</v>
      </c>
      <c r="R4" s="73">
        <v>25</v>
      </c>
      <c r="S4" s="63">
        <v>12.5</v>
      </c>
      <c r="T4" s="65">
        <v>7.2499999999999995E-2</v>
      </c>
      <c r="U4" s="65">
        <f t="shared" si="0"/>
        <v>5.2499999999999998E-2</v>
      </c>
      <c r="V4" s="63"/>
      <c r="W4" s="63"/>
      <c r="X4" s="66">
        <v>0.05</v>
      </c>
      <c r="Y4" s="61" t="s">
        <v>125</v>
      </c>
      <c r="Z4" s="61" t="s">
        <v>112</v>
      </c>
      <c r="AA4" s="61" t="s">
        <v>126</v>
      </c>
      <c r="AB4" s="67" t="s">
        <v>127</v>
      </c>
    </row>
    <row r="5" spans="1:28" s="56" customFormat="1" ht="14.25" customHeight="1">
      <c r="A5" s="56" t="s">
        <v>128</v>
      </c>
      <c r="B5" s="56" t="s">
        <v>129</v>
      </c>
      <c r="C5" s="68">
        <v>8546</v>
      </c>
      <c r="D5" s="69">
        <v>44654</v>
      </c>
      <c r="E5" s="70"/>
      <c r="F5" s="70"/>
      <c r="G5" s="69">
        <v>46449</v>
      </c>
      <c r="H5" s="69"/>
      <c r="I5" s="80" t="s">
        <v>87</v>
      </c>
      <c r="J5" s="61">
        <v>0.9</v>
      </c>
      <c r="K5" s="61">
        <v>0.9</v>
      </c>
      <c r="L5" s="72">
        <v>94250</v>
      </c>
      <c r="M5" s="73">
        <v>11.03</v>
      </c>
      <c r="N5" s="74"/>
      <c r="O5" s="74"/>
      <c r="P5" s="74"/>
      <c r="Q5" s="73"/>
      <c r="R5" s="73"/>
      <c r="S5" s="63">
        <v>12.5</v>
      </c>
      <c r="T5" s="65">
        <v>7.2499999999999995E-2</v>
      </c>
      <c r="U5" s="65">
        <f t="shared" si="0"/>
        <v>5.2499999999999998E-2</v>
      </c>
      <c r="V5" s="73"/>
      <c r="W5" s="73"/>
      <c r="X5" s="75">
        <v>0.05</v>
      </c>
      <c r="Y5" s="76" t="s">
        <v>125</v>
      </c>
      <c r="Z5" s="76" t="s">
        <v>112</v>
      </c>
      <c r="AA5" s="76" t="s">
        <v>126</v>
      </c>
      <c r="AB5" s="77" t="s">
        <v>130</v>
      </c>
    </row>
    <row r="6" spans="1:28" s="56" customFormat="1" ht="28.5" customHeight="1">
      <c r="A6" s="58" t="s">
        <v>131</v>
      </c>
      <c r="B6" s="58" t="s">
        <v>132</v>
      </c>
      <c r="C6" s="59">
        <v>8649</v>
      </c>
      <c r="D6" s="60" t="s">
        <v>133</v>
      </c>
      <c r="E6" s="79"/>
      <c r="F6" s="79"/>
      <c r="G6" s="78" t="s">
        <v>134</v>
      </c>
      <c r="H6" s="78"/>
      <c r="I6" s="78" t="s">
        <v>86</v>
      </c>
      <c r="J6" s="61">
        <v>0.7</v>
      </c>
      <c r="K6" s="61">
        <v>0.7</v>
      </c>
      <c r="L6" s="62">
        <v>72000</v>
      </c>
      <c r="M6" s="63">
        <v>8.32</v>
      </c>
      <c r="N6" s="64"/>
      <c r="O6" s="74"/>
      <c r="P6" s="74">
        <v>12</v>
      </c>
      <c r="Q6" s="74">
        <v>6</v>
      </c>
      <c r="R6" s="73">
        <v>25</v>
      </c>
      <c r="S6" s="63">
        <v>12.5</v>
      </c>
      <c r="T6" s="65">
        <v>7.2499999999999995E-2</v>
      </c>
      <c r="U6" s="65">
        <f>0.0525</f>
        <v>5.2499999999999998E-2</v>
      </c>
      <c r="V6" s="63"/>
      <c r="W6" s="63"/>
      <c r="X6" s="66">
        <v>0.04</v>
      </c>
      <c r="Y6" s="61" t="s">
        <v>111</v>
      </c>
      <c r="Z6" s="61" t="s">
        <v>81</v>
      </c>
      <c r="AA6" s="61" t="s">
        <v>119</v>
      </c>
      <c r="AB6" s="67" t="s">
        <v>135</v>
      </c>
    </row>
    <row r="7" spans="1:28" s="56" customFormat="1" ht="14.25" customHeight="1">
      <c r="A7" s="56" t="s">
        <v>136</v>
      </c>
      <c r="B7" s="56" t="s">
        <v>137</v>
      </c>
      <c r="C7" s="68">
        <v>7220</v>
      </c>
      <c r="D7" s="69">
        <v>44143</v>
      </c>
      <c r="E7" s="81">
        <v>46699</v>
      </c>
      <c r="F7" s="69">
        <v>45969</v>
      </c>
      <c r="G7" s="60">
        <v>47764</v>
      </c>
      <c r="H7" s="60" t="s">
        <v>86</v>
      </c>
      <c r="I7" s="60" t="s">
        <v>87</v>
      </c>
      <c r="J7" s="61">
        <v>1.3</v>
      </c>
      <c r="K7" s="61">
        <v>4.3</v>
      </c>
      <c r="L7" s="72">
        <v>47953</v>
      </c>
      <c r="M7" s="73">
        <v>6.64</v>
      </c>
      <c r="N7" s="74"/>
      <c r="O7" s="74"/>
      <c r="P7" s="74">
        <v>12</v>
      </c>
      <c r="Q7" s="74">
        <v>6</v>
      </c>
      <c r="R7" s="73">
        <v>25</v>
      </c>
      <c r="S7" s="63">
        <v>12.5</v>
      </c>
      <c r="T7" s="65">
        <v>7.2499999999999995E-2</v>
      </c>
      <c r="U7" s="65">
        <f t="shared" ref="U7:U29" si="1">0.0525</f>
        <v>5.2499999999999998E-2</v>
      </c>
      <c r="V7" s="73"/>
      <c r="W7" s="73"/>
      <c r="X7" s="75">
        <v>0.03</v>
      </c>
      <c r="Y7" s="76" t="s">
        <v>111</v>
      </c>
      <c r="Z7" s="76" t="s">
        <v>112</v>
      </c>
      <c r="AA7" s="76" t="s">
        <v>113</v>
      </c>
      <c r="AB7" s="77" t="s">
        <v>138</v>
      </c>
    </row>
    <row r="8" spans="1:28" s="56" customFormat="1" ht="57" customHeight="1">
      <c r="A8" s="58" t="s">
        <v>139</v>
      </c>
      <c r="B8" s="67" t="s">
        <v>140</v>
      </c>
      <c r="C8" s="59">
        <v>7058</v>
      </c>
      <c r="D8" s="79"/>
      <c r="E8" s="79"/>
      <c r="F8" s="79"/>
      <c r="G8" s="79"/>
      <c r="H8" s="79"/>
      <c r="I8" s="60" t="s">
        <v>87</v>
      </c>
      <c r="J8" s="61"/>
      <c r="K8" s="61"/>
      <c r="L8" s="62">
        <v>82943</v>
      </c>
      <c r="M8" s="63">
        <v>11.75</v>
      </c>
      <c r="N8" s="64"/>
      <c r="O8" s="64"/>
      <c r="P8" s="64"/>
      <c r="Q8" s="63"/>
      <c r="R8" s="63"/>
      <c r="S8" s="63">
        <v>12.5</v>
      </c>
      <c r="T8" s="65">
        <v>7.2499999999999995E-2</v>
      </c>
      <c r="U8" s="65">
        <f t="shared" si="1"/>
        <v>5.2499999999999998E-2</v>
      </c>
      <c r="V8" s="63"/>
      <c r="W8" s="63"/>
      <c r="X8" s="66">
        <v>0.04</v>
      </c>
      <c r="Y8" s="61" t="s">
        <v>125</v>
      </c>
      <c r="Z8" s="61" t="s">
        <v>112</v>
      </c>
      <c r="AA8" s="61" t="s">
        <v>141</v>
      </c>
      <c r="AB8" s="67" t="s">
        <v>142</v>
      </c>
    </row>
    <row r="9" spans="1:28" s="56" customFormat="1" ht="42.75" customHeight="1">
      <c r="A9" s="56" t="s">
        <v>143</v>
      </c>
      <c r="B9" s="56" t="s">
        <v>144</v>
      </c>
      <c r="C9" s="68">
        <v>7045</v>
      </c>
      <c r="D9" s="69" t="s">
        <v>145</v>
      </c>
      <c r="E9" s="69" t="s">
        <v>146</v>
      </c>
      <c r="F9" s="70"/>
      <c r="G9" s="69" t="s">
        <v>147</v>
      </c>
      <c r="H9" s="69" t="s">
        <v>87</v>
      </c>
      <c r="I9" s="60" t="s">
        <v>87</v>
      </c>
      <c r="J9" s="61">
        <v>2.7</v>
      </c>
      <c r="K9" s="61">
        <v>4.7</v>
      </c>
      <c r="L9" s="72">
        <v>77725</v>
      </c>
      <c r="M9" s="73">
        <v>11.03</v>
      </c>
      <c r="N9" s="74"/>
      <c r="O9" s="74"/>
      <c r="P9" s="74"/>
      <c r="Q9" s="73"/>
      <c r="R9" s="73"/>
      <c r="S9" s="63">
        <v>12.5</v>
      </c>
      <c r="T9" s="65">
        <v>7.2499999999999995E-2</v>
      </c>
      <c r="U9" s="65">
        <f t="shared" si="1"/>
        <v>5.2499999999999998E-2</v>
      </c>
      <c r="V9" s="73"/>
      <c r="W9" s="73"/>
      <c r="X9" s="75">
        <v>0.04</v>
      </c>
      <c r="Y9" s="76" t="s">
        <v>125</v>
      </c>
      <c r="Z9" s="76" t="s">
        <v>81</v>
      </c>
      <c r="AA9" s="76" t="s">
        <v>113</v>
      </c>
      <c r="AB9" s="77" t="s">
        <v>148</v>
      </c>
    </row>
    <row r="10" spans="1:28" s="56" customFormat="1" ht="28.5" customHeight="1">
      <c r="A10" s="58" t="s">
        <v>149</v>
      </c>
      <c r="B10" s="58" t="s">
        <v>150</v>
      </c>
      <c r="C10" s="59">
        <v>7205</v>
      </c>
      <c r="D10" s="60" t="s">
        <v>151</v>
      </c>
      <c r="E10" s="79"/>
      <c r="F10" s="79"/>
      <c r="G10" s="60" t="s">
        <v>152</v>
      </c>
      <c r="H10" s="60"/>
      <c r="I10" s="60" t="s">
        <v>87</v>
      </c>
      <c r="J10" s="61"/>
      <c r="K10" s="61"/>
      <c r="L10" s="62">
        <v>84659</v>
      </c>
      <c r="M10" s="63">
        <v>11.75</v>
      </c>
      <c r="N10" s="64"/>
      <c r="O10" s="64"/>
      <c r="P10" s="64"/>
      <c r="Q10" s="63"/>
      <c r="R10" s="63"/>
      <c r="S10" s="63">
        <v>12.5</v>
      </c>
      <c r="T10" s="65">
        <v>7.2499999999999995E-2</v>
      </c>
      <c r="U10" s="65">
        <f t="shared" si="1"/>
        <v>5.2499999999999998E-2</v>
      </c>
      <c r="V10" s="63"/>
      <c r="W10" s="63"/>
      <c r="X10" s="66">
        <v>0.05</v>
      </c>
      <c r="Y10" s="61" t="s">
        <v>125</v>
      </c>
      <c r="Z10" s="61" t="s">
        <v>112</v>
      </c>
      <c r="AA10" s="61" t="s">
        <v>126</v>
      </c>
      <c r="AB10" s="67" t="s">
        <v>153</v>
      </c>
    </row>
    <row r="11" spans="1:28" s="56" customFormat="1" ht="42.75" customHeight="1">
      <c r="A11" s="56" t="s">
        <v>154</v>
      </c>
      <c r="B11" s="56" t="s">
        <v>155</v>
      </c>
      <c r="C11" s="68">
        <v>12904</v>
      </c>
      <c r="D11" s="69" t="s">
        <v>156</v>
      </c>
      <c r="E11" s="69" t="s">
        <v>157</v>
      </c>
      <c r="F11" s="69" t="s">
        <v>158</v>
      </c>
      <c r="G11" s="69" t="s">
        <v>159</v>
      </c>
      <c r="H11" s="69" t="s">
        <v>87</v>
      </c>
      <c r="I11" s="60" t="s">
        <v>87</v>
      </c>
      <c r="J11" s="61">
        <v>2.9</v>
      </c>
      <c r="K11" s="61">
        <v>7.9</v>
      </c>
      <c r="L11" s="72">
        <v>123250</v>
      </c>
      <c r="M11" s="73">
        <v>9.5299999999999994</v>
      </c>
      <c r="N11" s="74"/>
      <c r="O11" s="74"/>
      <c r="P11" s="74"/>
      <c r="Q11" s="73"/>
      <c r="R11" s="73"/>
      <c r="S11" s="63">
        <v>12.5</v>
      </c>
      <c r="T11" s="65">
        <v>7.2499999999999995E-2</v>
      </c>
      <c r="U11" s="65">
        <f t="shared" si="1"/>
        <v>5.2499999999999998E-2</v>
      </c>
      <c r="V11" s="73"/>
      <c r="W11" s="73"/>
      <c r="X11" s="75">
        <v>7.0000000000000007E-2</v>
      </c>
      <c r="Y11" s="76" t="s">
        <v>111</v>
      </c>
      <c r="Z11" s="76" t="s">
        <v>81</v>
      </c>
      <c r="AA11" s="76" t="s">
        <v>126</v>
      </c>
      <c r="AB11" s="77" t="s">
        <v>160</v>
      </c>
    </row>
    <row r="12" spans="1:28" s="56" customFormat="1" ht="14.25" customHeight="1">
      <c r="A12" s="58" t="s">
        <v>161</v>
      </c>
      <c r="B12" s="58" t="s">
        <v>162</v>
      </c>
      <c r="C12" s="59">
        <v>9919</v>
      </c>
      <c r="D12" s="60">
        <v>45661</v>
      </c>
      <c r="E12" s="79"/>
      <c r="F12" s="79"/>
      <c r="G12" s="60" t="s">
        <v>163</v>
      </c>
      <c r="H12" s="60"/>
      <c r="I12" s="60" t="s">
        <v>87</v>
      </c>
      <c r="J12" s="61">
        <v>3.9</v>
      </c>
      <c r="K12" s="61">
        <v>3.9</v>
      </c>
      <c r="L12" s="62">
        <v>94687</v>
      </c>
      <c r="M12" s="63">
        <v>9.5</v>
      </c>
      <c r="N12" s="64"/>
      <c r="O12" s="64"/>
      <c r="P12" s="64"/>
      <c r="Q12" s="63"/>
      <c r="R12" s="63"/>
      <c r="S12" s="63">
        <v>12.5</v>
      </c>
      <c r="T12" s="65">
        <v>7.2499999999999995E-2</v>
      </c>
      <c r="U12" s="65">
        <f t="shared" si="1"/>
        <v>5.2499999999999998E-2</v>
      </c>
      <c r="V12" s="63"/>
      <c r="W12" s="63"/>
      <c r="X12" s="66">
        <v>0.05</v>
      </c>
      <c r="Y12" s="61" t="s">
        <v>125</v>
      </c>
      <c r="Z12" s="61" t="s">
        <v>112</v>
      </c>
      <c r="AA12" s="61" t="s">
        <v>119</v>
      </c>
      <c r="AB12" s="67"/>
    </row>
    <row r="13" spans="1:28" s="56" customFormat="1" ht="28.5" customHeight="1">
      <c r="A13" s="56" t="s">
        <v>164</v>
      </c>
      <c r="B13" s="56" t="s">
        <v>162</v>
      </c>
      <c r="C13" s="68">
        <v>10081</v>
      </c>
      <c r="D13" s="69">
        <v>45661</v>
      </c>
      <c r="E13" s="69" t="s">
        <v>165</v>
      </c>
      <c r="F13" s="70"/>
      <c r="G13" s="69" t="s">
        <v>163</v>
      </c>
      <c r="H13" s="69" t="s">
        <v>87</v>
      </c>
      <c r="I13" s="60" t="s">
        <v>87</v>
      </c>
      <c r="J13" s="61">
        <v>1.9</v>
      </c>
      <c r="K13" s="61">
        <v>3.9</v>
      </c>
      <c r="L13" s="72">
        <v>95713</v>
      </c>
      <c r="M13" s="73">
        <v>9.5</v>
      </c>
      <c r="N13" s="74"/>
      <c r="O13" s="74"/>
      <c r="P13" s="74"/>
      <c r="Q13" s="73"/>
      <c r="R13" s="73"/>
      <c r="S13" s="63">
        <v>12.5</v>
      </c>
      <c r="T13" s="65">
        <v>7.2499999999999995E-2</v>
      </c>
      <c r="U13" s="65">
        <f t="shared" si="1"/>
        <v>5.2499999999999998E-2</v>
      </c>
      <c r="V13" s="73"/>
      <c r="W13" s="73"/>
      <c r="X13" s="75">
        <v>0.05</v>
      </c>
      <c r="Y13" s="76" t="s">
        <v>125</v>
      </c>
      <c r="Z13" s="76" t="s">
        <v>112</v>
      </c>
      <c r="AA13" s="76" t="s">
        <v>119</v>
      </c>
      <c r="AB13" s="77" t="s">
        <v>166</v>
      </c>
    </row>
    <row r="14" spans="1:28" s="56" customFormat="1" ht="14.25" customHeight="1">
      <c r="A14" s="58" t="s">
        <v>167</v>
      </c>
      <c r="B14" s="58" t="s">
        <v>168</v>
      </c>
      <c r="C14" s="59">
        <v>5175</v>
      </c>
      <c r="D14" s="60" t="s">
        <v>169</v>
      </c>
      <c r="E14" s="79"/>
      <c r="F14" s="79"/>
      <c r="G14" s="78" t="s">
        <v>170</v>
      </c>
      <c r="H14" s="78"/>
      <c r="I14" s="78" t="s">
        <v>86</v>
      </c>
      <c r="J14" s="61">
        <v>3.7</v>
      </c>
      <c r="K14" s="61">
        <v>3.7</v>
      </c>
      <c r="L14" s="62">
        <v>50310</v>
      </c>
      <c r="M14" s="63">
        <v>9.75</v>
      </c>
      <c r="N14" s="64"/>
      <c r="O14" s="74"/>
      <c r="P14" s="74">
        <v>12</v>
      </c>
      <c r="Q14" s="74">
        <v>6</v>
      </c>
      <c r="R14" s="73">
        <v>25</v>
      </c>
      <c r="S14" s="63">
        <v>13</v>
      </c>
      <c r="T14" s="65">
        <v>7.2499999999999995E-2</v>
      </c>
      <c r="U14" s="65">
        <f t="shared" si="1"/>
        <v>5.2499999999999998E-2</v>
      </c>
      <c r="V14" s="63"/>
      <c r="W14" s="63"/>
      <c r="X14" s="66">
        <v>0.03</v>
      </c>
      <c r="Y14" s="61" t="s">
        <v>125</v>
      </c>
      <c r="Z14" s="61" t="s">
        <v>112</v>
      </c>
      <c r="AA14" s="61" t="s">
        <v>141</v>
      </c>
      <c r="AB14" s="67" t="s">
        <v>171</v>
      </c>
    </row>
    <row r="15" spans="1:28" s="56" customFormat="1" ht="14.25" customHeight="1">
      <c r="A15" s="56" t="s">
        <v>172</v>
      </c>
      <c r="B15" s="56" t="s">
        <v>173</v>
      </c>
      <c r="C15" s="68">
        <v>5181</v>
      </c>
      <c r="D15" s="69">
        <v>43832</v>
      </c>
      <c r="E15" s="69">
        <v>45659</v>
      </c>
      <c r="F15" s="69">
        <v>45659</v>
      </c>
      <c r="G15" s="69" t="s">
        <v>174</v>
      </c>
      <c r="H15" s="69" t="s">
        <v>87</v>
      </c>
      <c r="I15" s="60" t="s">
        <v>87</v>
      </c>
      <c r="J15" s="61">
        <v>3.8</v>
      </c>
      <c r="K15" s="61">
        <v>3.8</v>
      </c>
      <c r="L15" s="72">
        <v>36274</v>
      </c>
      <c r="M15" s="73">
        <v>7</v>
      </c>
      <c r="N15" s="74"/>
      <c r="O15" s="74"/>
      <c r="P15" s="74"/>
      <c r="Q15" s="73"/>
      <c r="R15" s="73"/>
      <c r="S15" s="73">
        <v>13</v>
      </c>
      <c r="T15" s="65">
        <v>7.2499999999999995E-2</v>
      </c>
      <c r="U15" s="65">
        <f t="shared" si="1"/>
        <v>5.2499999999999998E-2</v>
      </c>
      <c r="V15" s="73"/>
      <c r="W15" s="73"/>
      <c r="X15" s="75">
        <v>0.02</v>
      </c>
      <c r="Y15" s="76" t="s">
        <v>125</v>
      </c>
      <c r="Z15" s="76" t="s">
        <v>112</v>
      </c>
      <c r="AA15" s="76" t="s">
        <v>119</v>
      </c>
      <c r="AB15" s="77"/>
    </row>
    <row r="16" spans="1:28" s="56" customFormat="1" ht="14.25" customHeight="1">
      <c r="A16" s="58" t="s">
        <v>175</v>
      </c>
      <c r="B16" s="58" t="s">
        <v>116</v>
      </c>
      <c r="C16" s="59">
        <v>5299</v>
      </c>
      <c r="D16" s="60" t="s">
        <v>117</v>
      </c>
      <c r="E16" s="79"/>
      <c r="F16" s="79"/>
      <c r="G16" s="60" t="s">
        <v>118</v>
      </c>
      <c r="H16" s="60"/>
      <c r="I16" s="60" t="s">
        <v>87</v>
      </c>
      <c r="J16" s="61">
        <v>0.8</v>
      </c>
      <c r="K16" s="61">
        <v>0.8</v>
      </c>
      <c r="L16" s="62">
        <v>44889</v>
      </c>
      <c r="M16" s="63">
        <v>8.5</v>
      </c>
      <c r="N16" s="64"/>
      <c r="O16" s="64"/>
      <c r="P16" s="64"/>
      <c r="Q16" s="63"/>
      <c r="R16" s="63"/>
      <c r="S16" s="63">
        <v>13</v>
      </c>
      <c r="T16" s="65">
        <v>7.2499999999999995E-2</v>
      </c>
      <c r="U16" s="65">
        <f t="shared" si="1"/>
        <v>5.2499999999999998E-2</v>
      </c>
      <c r="V16" s="63"/>
      <c r="W16" s="63"/>
      <c r="X16" s="66">
        <v>0.02</v>
      </c>
      <c r="Y16" s="61" t="s">
        <v>111</v>
      </c>
      <c r="Z16" s="61" t="s">
        <v>81</v>
      </c>
      <c r="AA16" s="61" t="s">
        <v>113</v>
      </c>
      <c r="AB16" s="67"/>
    </row>
    <row r="17" spans="1:28" s="56" customFormat="1" ht="14.25" customHeight="1">
      <c r="A17" s="56" t="s">
        <v>176</v>
      </c>
      <c r="B17" s="56" t="s">
        <v>116</v>
      </c>
      <c r="C17" s="68">
        <v>10081</v>
      </c>
      <c r="D17" s="69" t="s">
        <v>117</v>
      </c>
      <c r="E17" s="70"/>
      <c r="F17" s="70"/>
      <c r="G17" s="69" t="s">
        <v>118</v>
      </c>
      <c r="H17" s="69"/>
      <c r="I17" s="60" t="s">
        <v>87</v>
      </c>
      <c r="J17" s="61">
        <v>0.8</v>
      </c>
      <c r="K17" s="61">
        <v>0.8</v>
      </c>
      <c r="L17" s="72">
        <v>82962</v>
      </c>
      <c r="M17" s="73">
        <v>8.25</v>
      </c>
      <c r="N17" s="74"/>
      <c r="O17" s="74"/>
      <c r="P17" s="74"/>
      <c r="Q17" s="73"/>
      <c r="R17" s="73"/>
      <c r="S17" s="73">
        <v>12</v>
      </c>
      <c r="T17" s="65">
        <v>7.2499999999999995E-2</v>
      </c>
      <c r="U17" s="65">
        <f t="shared" si="1"/>
        <v>5.2499999999999998E-2</v>
      </c>
      <c r="V17" s="73"/>
      <c r="W17" s="73"/>
      <c r="X17" s="75">
        <v>0.04</v>
      </c>
      <c r="Y17" s="76" t="s">
        <v>111</v>
      </c>
      <c r="Z17" s="76" t="s">
        <v>112</v>
      </c>
      <c r="AA17" s="76" t="s">
        <v>113</v>
      </c>
      <c r="AB17" s="77"/>
    </row>
    <row r="18" spans="1:28" s="56" customFormat="1" ht="14.25" customHeight="1">
      <c r="A18" s="58" t="s">
        <v>177</v>
      </c>
      <c r="B18" s="58" t="s">
        <v>116</v>
      </c>
      <c r="C18" s="59">
        <v>12096</v>
      </c>
      <c r="D18" s="60" t="s">
        <v>117</v>
      </c>
      <c r="E18" s="79"/>
      <c r="F18" s="79"/>
      <c r="G18" s="60" t="s">
        <v>118</v>
      </c>
      <c r="H18" s="60"/>
      <c r="I18" s="60" t="s">
        <v>87</v>
      </c>
      <c r="J18" s="61">
        <v>0.8</v>
      </c>
      <c r="K18" s="61">
        <v>0.8</v>
      </c>
      <c r="L18" s="62">
        <v>99858</v>
      </c>
      <c r="M18" s="63">
        <v>8.25</v>
      </c>
      <c r="N18" s="64"/>
      <c r="O18" s="64"/>
      <c r="P18" s="64"/>
      <c r="Q18" s="63"/>
      <c r="R18" s="63"/>
      <c r="S18" s="63">
        <v>12</v>
      </c>
      <c r="T18" s="65">
        <v>7.2499999999999995E-2</v>
      </c>
      <c r="U18" s="65">
        <f t="shared" si="1"/>
        <v>5.2499999999999998E-2</v>
      </c>
      <c r="V18" s="63"/>
      <c r="W18" s="63"/>
      <c r="X18" s="66">
        <v>0.05</v>
      </c>
      <c r="Y18" s="61" t="s">
        <v>111</v>
      </c>
      <c r="Z18" s="61" t="s">
        <v>112</v>
      </c>
      <c r="AA18" s="61" t="s">
        <v>119</v>
      </c>
      <c r="AB18" s="67"/>
    </row>
    <row r="19" spans="1:28" s="56" customFormat="1" ht="28.5" customHeight="1">
      <c r="A19" s="56" t="s">
        <v>178</v>
      </c>
      <c r="B19" s="56" t="s">
        <v>179</v>
      </c>
      <c r="C19" s="68">
        <v>5685</v>
      </c>
      <c r="D19" s="69">
        <v>45667</v>
      </c>
      <c r="E19" s="69">
        <v>47493</v>
      </c>
      <c r="F19" s="69">
        <v>47493</v>
      </c>
      <c r="G19" s="69" t="s">
        <v>180</v>
      </c>
      <c r="H19" s="69" t="s">
        <v>87</v>
      </c>
      <c r="I19" s="60" t="s">
        <v>87</v>
      </c>
      <c r="J19" s="61">
        <v>4.4000000000000004</v>
      </c>
      <c r="K19" s="61">
        <v>9.4</v>
      </c>
      <c r="L19" s="72">
        <v>57110</v>
      </c>
      <c r="M19" s="73">
        <v>10</v>
      </c>
      <c r="N19" s="74"/>
      <c r="O19" s="74"/>
      <c r="P19" s="74"/>
      <c r="Q19" s="73"/>
      <c r="R19" s="73"/>
      <c r="S19" s="73">
        <v>13</v>
      </c>
      <c r="T19" s="65">
        <v>7.2499999999999995E-2</v>
      </c>
      <c r="U19" s="65">
        <f t="shared" si="1"/>
        <v>5.2499999999999998E-2</v>
      </c>
      <c r="V19" s="73"/>
      <c r="W19" s="73"/>
      <c r="X19" s="75">
        <v>0.03</v>
      </c>
      <c r="Y19" s="76" t="s">
        <v>125</v>
      </c>
      <c r="Z19" s="76" t="s">
        <v>112</v>
      </c>
      <c r="AA19" s="76" t="s">
        <v>141</v>
      </c>
      <c r="AB19" s="77" t="s">
        <v>181</v>
      </c>
    </row>
    <row r="20" spans="1:28" s="56" customFormat="1" ht="42.75" customHeight="1">
      <c r="A20" s="58" t="s">
        <v>182</v>
      </c>
      <c r="B20" s="58" t="s">
        <v>179</v>
      </c>
      <c r="C20" s="59">
        <v>5678</v>
      </c>
      <c r="D20" s="60" t="s">
        <v>183</v>
      </c>
      <c r="E20" s="60">
        <v>47493</v>
      </c>
      <c r="F20" s="60">
        <v>47493</v>
      </c>
      <c r="G20" s="60" t="s">
        <v>180</v>
      </c>
      <c r="H20" s="60" t="s">
        <v>87</v>
      </c>
      <c r="I20" s="60" t="s">
        <v>87</v>
      </c>
      <c r="J20" s="61">
        <v>4.4000000000000004</v>
      </c>
      <c r="K20" s="61">
        <v>9.4</v>
      </c>
      <c r="L20" s="62">
        <v>58323</v>
      </c>
      <c r="M20" s="63">
        <v>10.25</v>
      </c>
      <c r="N20" s="64"/>
      <c r="O20" s="64"/>
      <c r="P20" s="64"/>
      <c r="Q20" s="63"/>
      <c r="R20" s="63"/>
      <c r="S20" s="63">
        <v>13</v>
      </c>
      <c r="T20" s="65">
        <v>7.2499999999999995E-2</v>
      </c>
      <c r="U20" s="65">
        <f t="shared" si="1"/>
        <v>5.2499999999999998E-2</v>
      </c>
      <c r="V20" s="63"/>
      <c r="W20" s="63"/>
      <c r="X20" s="66">
        <v>0.03</v>
      </c>
      <c r="Y20" s="61" t="s">
        <v>125</v>
      </c>
      <c r="Z20" s="61" t="s">
        <v>112</v>
      </c>
      <c r="AA20" s="61" t="s">
        <v>126</v>
      </c>
      <c r="AB20" s="67" t="s">
        <v>184</v>
      </c>
    </row>
    <row r="21" spans="1:28" s="56" customFormat="1" ht="28.5" customHeight="1">
      <c r="A21" s="56" t="s">
        <v>185</v>
      </c>
      <c r="B21" s="56" t="s">
        <v>186</v>
      </c>
      <c r="C21" s="68">
        <v>5131</v>
      </c>
      <c r="D21" s="69" t="s">
        <v>187</v>
      </c>
      <c r="E21" s="70"/>
      <c r="F21" s="70"/>
      <c r="G21" s="81" t="s">
        <v>188</v>
      </c>
      <c r="H21" s="81"/>
      <c r="I21" s="78" t="s">
        <v>86</v>
      </c>
      <c r="J21" s="61">
        <v>2.2999999999999998</v>
      </c>
      <c r="K21" s="61">
        <v>2.2999999999999998</v>
      </c>
      <c r="L21" s="72">
        <v>50000</v>
      </c>
      <c r="M21" s="73">
        <v>9.75</v>
      </c>
      <c r="N21" s="74"/>
      <c r="O21" s="74"/>
      <c r="P21" s="74">
        <v>12</v>
      </c>
      <c r="Q21" s="74">
        <v>6</v>
      </c>
      <c r="R21" s="73">
        <v>25</v>
      </c>
      <c r="S21" s="73">
        <v>13</v>
      </c>
      <c r="T21" s="65">
        <v>7.2499999999999995E-2</v>
      </c>
      <c r="U21" s="65">
        <f t="shared" si="1"/>
        <v>5.2499999999999998E-2</v>
      </c>
      <c r="V21" s="73"/>
      <c r="W21" s="73"/>
      <c r="X21" s="75">
        <v>0.03</v>
      </c>
      <c r="Y21" s="76" t="s">
        <v>125</v>
      </c>
      <c r="Z21" s="76" t="s">
        <v>81</v>
      </c>
      <c r="AA21" s="76" t="s">
        <v>113</v>
      </c>
      <c r="AB21" s="77" t="s">
        <v>189</v>
      </c>
    </row>
    <row r="22" spans="1:28" s="56" customFormat="1" ht="14.25" customHeight="1">
      <c r="A22" s="58" t="s">
        <v>190</v>
      </c>
      <c r="B22" s="58" t="s">
        <v>191</v>
      </c>
      <c r="C22" s="59">
        <v>5308</v>
      </c>
      <c r="D22" s="60" t="s">
        <v>192</v>
      </c>
      <c r="E22" s="79"/>
      <c r="F22" s="79"/>
      <c r="G22" s="60" t="s">
        <v>134</v>
      </c>
      <c r="H22" s="60"/>
      <c r="I22" s="60" t="s">
        <v>87</v>
      </c>
      <c r="J22" s="61">
        <v>0.7</v>
      </c>
      <c r="K22" s="61">
        <v>0.7</v>
      </c>
      <c r="L22" s="62">
        <v>51329</v>
      </c>
      <c r="M22" s="63">
        <v>9.5</v>
      </c>
      <c r="N22" s="64"/>
      <c r="O22" s="64"/>
      <c r="P22" s="64"/>
      <c r="Q22" s="63"/>
      <c r="R22" s="63"/>
      <c r="S22" s="63">
        <v>13</v>
      </c>
      <c r="T22" s="65">
        <v>7.2499999999999995E-2</v>
      </c>
      <c r="U22" s="65">
        <f t="shared" si="1"/>
        <v>5.2499999999999998E-2</v>
      </c>
      <c r="V22" s="63"/>
      <c r="W22" s="63"/>
      <c r="X22" s="66">
        <v>0.03</v>
      </c>
      <c r="Y22" s="61" t="s">
        <v>125</v>
      </c>
      <c r="Z22" s="61" t="s">
        <v>81</v>
      </c>
      <c r="AA22" s="61" t="s">
        <v>113</v>
      </c>
      <c r="AB22" s="67"/>
    </row>
    <row r="23" spans="1:28" s="56" customFormat="1" ht="14.25" customHeight="1">
      <c r="A23" s="56" t="s">
        <v>193</v>
      </c>
      <c r="B23" s="56" t="s">
        <v>194</v>
      </c>
      <c r="C23" s="68">
        <v>4829</v>
      </c>
      <c r="D23" s="69">
        <v>43475</v>
      </c>
      <c r="E23" s="70"/>
      <c r="F23" s="70"/>
      <c r="G23" s="81">
        <v>47391</v>
      </c>
      <c r="H23" s="81"/>
      <c r="I23" s="78" t="s">
        <v>86</v>
      </c>
      <c r="J23" s="61">
        <v>3.4</v>
      </c>
      <c r="K23" s="61">
        <v>3.4</v>
      </c>
      <c r="L23" s="72">
        <v>46677</v>
      </c>
      <c r="M23" s="73">
        <v>9.65</v>
      </c>
      <c r="N23" s="74"/>
      <c r="O23" s="74"/>
      <c r="P23" s="74">
        <v>12</v>
      </c>
      <c r="Q23" s="74">
        <v>6</v>
      </c>
      <c r="R23" s="73">
        <v>25</v>
      </c>
      <c r="S23" s="73">
        <v>13</v>
      </c>
      <c r="T23" s="65">
        <v>7.2499999999999995E-2</v>
      </c>
      <c r="U23" s="65">
        <f t="shared" si="1"/>
        <v>5.2499999999999998E-2</v>
      </c>
      <c r="V23" s="73"/>
      <c r="W23" s="73"/>
      <c r="X23" s="75">
        <v>0.02</v>
      </c>
      <c r="Y23" s="76" t="s">
        <v>125</v>
      </c>
      <c r="Z23" s="76" t="s">
        <v>112</v>
      </c>
      <c r="AA23" s="76" t="s">
        <v>113</v>
      </c>
      <c r="AB23" s="77" t="s">
        <v>195</v>
      </c>
    </row>
    <row r="24" spans="1:28" s="56" customFormat="1" ht="14.25" customHeight="1">
      <c r="A24" s="58" t="s">
        <v>196</v>
      </c>
      <c r="B24" s="58" t="s">
        <v>197</v>
      </c>
      <c r="C24" s="59">
        <v>2879</v>
      </c>
      <c r="D24" s="60">
        <v>45940</v>
      </c>
      <c r="E24" s="60">
        <v>47036</v>
      </c>
      <c r="F24" s="60">
        <v>47036</v>
      </c>
      <c r="G24" s="60">
        <v>48101</v>
      </c>
      <c r="H24" s="60" t="s">
        <v>87</v>
      </c>
      <c r="I24" s="60" t="s">
        <v>87</v>
      </c>
      <c r="J24" s="61">
        <v>2.5</v>
      </c>
      <c r="K24" s="61">
        <v>5.5</v>
      </c>
      <c r="L24" s="62">
        <v>40362</v>
      </c>
      <c r="M24" s="63">
        <v>14</v>
      </c>
      <c r="N24" s="64"/>
      <c r="O24" s="64"/>
      <c r="P24" s="64"/>
      <c r="Q24" s="63"/>
      <c r="R24" s="63"/>
      <c r="S24" s="63">
        <v>14</v>
      </c>
      <c r="T24" s="65">
        <v>7.2499999999999995E-2</v>
      </c>
      <c r="U24" s="65">
        <f t="shared" si="1"/>
        <v>5.2499999999999998E-2</v>
      </c>
      <c r="V24" s="63"/>
      <c r="W24" s="63"/>
      <c r="X24" s="66">
        <v>0.02</v>
      </c>
      <c r="Y24" s="61" t="s">
        <v>125</v>
      </c>
      <c r="Z24" s="61" t="s">
        <v>112</v>
      </c>
      <c r="AA24" s="61" t="s">
        <v>126</v>
      </c>
      <c r="AB24" s="67"/>
    </row>
    <row r="25" spans="1:28" s="56" customFormat="1" ht="14.25" customHeight="1">
      <c r="A25" s="56" t="s">
        <v>198</v>
      </c>
      <c r="B25" s="56" t="s">
        <v>199</v>
      </c>
      <c r="C25" s="68">
        <v>3877</v>
      </c>
      <c r="D25" s="69">
        <v>44903</v>
      </c>
      <c r="E25" s="81">
        <v>46699</v>
      </c>
      <c r="F25" s="71">
        <v>46729</v>
      </c>
      <c r="G25" s="69">
        <v>48526</v>
      </c>
      <c r="H25" s="69" t="s">
        <v>86</v>
      </c>
      <c r="I25" s="60" t="s">
        <v>87</v>
      </c>
      <c r="J25" s="61">
        <v>1.3</v>
      </c>
      <c r="K25" s="61">
        <v>6.3</v>
      </c>
      <c r="L25" s="72">
        <v>39120</v>
      </c>
      <c r="M25" s="73">
        <v>10</v>
      </c>
      <c r="N25" s="74"/>
      <c r="O25" s="74"/>
      <c r="P25" s="74">
        <v>12</v>
      </c>
      <c r="Q25" s="74">
        <v>6</v>
      </c>
      <c r="R25" s="73">
        <v>25</v>
      </c>
      <c r="S25" s="73">
        <v>14</v>
      </c>
      <c r="T25" s="65">
        <v>7.2499999999999995E-2</v>
      </c>
      <c r="U25" s="65">
        <f t="shared" si="1"/>
        <v>5.2499999999999998E-2</v>
      </c>
      <c r="V25" s="73"/>
      <c r="W25" s="73"/>
      <c r="X25" s="75">
        <v>0.02</v>
      </c>
      <c r="Y25" s="76" t="s">
        <v>125</v>
      </c>
      <c r="Z25" s="76" t="s">
        <v>112</v>
      </c>
      <c r="AA25" s="76" t="s">
        <v>126</v>
      </c>
      <c r="AB25" s="77"/>
    </row>
    <row r="26" spans="1:28" s="56" customFormat="1" ht="14.25" customHeight="1">
      <c r="A26" s="58" t="s">
        <v>200</v>
      </c>
      <c r="B26" s="58" t="s">
        <v>201</v>
      </c>
      <c r="C26" s="59">
        <v>2282</v>
      </c>
      <c r="D26" s="79"/>
      <c r="E26" s="79"/>
      <c r="F26" s="79"/>
      <c r="G26" s="79"/>
      <c r="H26" s="79"/>
      <c r="I26" s="60" t="s">
        <v>87</v>
      </c>
      <c r="J26" s="61"/>
      <c r="K26" s="61"/>
      <c r="L26" s="62">
        <v>31948</v>
      </c>
      <c r="M26" s="63">
        <v>14</v>
      </c>
      <c r="N26" s="64"/>
      <c r="O26" s="64"/>
      <c r="P26" s="64"/>
      <c r="Q26" s="63"/>
      <c r="R26" s="63"/>
      <c r="S26" s="63">
        <v>14</v>
      </c>
      <c r="T26" s="65">
        <v>7.2499999999999995E-2</v>
      </c>
      <c r="U26" s="65">
        <f t="shared" si="1"/>
        <v>5.2499999999999998E-2</v>
      </c>
      <c r="V26" s="63"/>
      <c r="W26" s="63"/>
      <c r="X26" s="66">
        <v>0.02</v>
      </c>
      <c r="Y26" s="61"/>
      <c r="Z26" s="61"/>
      <c r="AA26" s="61" t="s">
        <v>126</v>
      </c>
      <c r="AB26" s="67" t="s">
        <v>202</v>
      </c>
    </row>
    <row r="27" spans="1:28" s="56" customFormat="1" ht="14.25" customHeight="1">
      <c r="A27" s="56" t="s">
        <v>203</v>
      </c>
      <c r="B27" s="56" t="s">
        <v>204</v>
      </c>
      <c r="C27" s="68">
        <v>2692</v>
      </c>
      <c r="D27" s="69">
        <v>42919</v>
      </c>
      <c r="E27" s="70"/>
      <c r="F27" s="70"/>
      <c r="G27" s="69">
        <v>46541</v>
      </c>
      <c r="H27" s="69"/>
      <c r="I27" s="60" t="s">
        <v>87</v>
      </c>
      <c r="J27" s="61">
        <v>0.9</v>
      </c>
      <c r="K27" s="61">
        <v>0.9</v>
      </c>
      <c r="L27" s="72">
        <v>28300</v>
      </c>
      <c r="M27" s="73">
        <v>10.51</v>
      </c>
      <c r="N27" s="74"/>
      <c r="O27" s="74"/>
      <c r="P27" s="74"/>
      <c r="Q27" s="73"/>
      <c r="R27" s="73"/>
      <c r="S27" s="73">
        <v>14</v>
      </c>
      <c r="T27" s="65">
        <v>7.2499999999999995E-2</v>
      </c>
      <c r="U27" s="65">
        <f t="shared" si="1"/>
        <v>5.2499999999999998E-2</v>
      </c>
      <c r="V27" s="73"/>
      <c r="W27" s="73"/>
      <c r="X27" s="75">
        <v>0.02</v>
      </c>
      <c r="Y27" s="76" t="s">
        <v>111</v>
      </c>
      <c r="Z27" s="76" t="s">
        <v>81</v>
      </c>
      <c r="AA27" s="76" t="s">
        <v>119</v>
      </c>
      <c r="AB27" s="77"/>
    </row>
    <row r="28" spans="1:28" s="56" customFormat="1" ht="42.75" customHeight="1">
      <c r="A28" s="58" t="s">
        <v>205</v>
      </c>
      <c r="B28" s="58" t="s">
        <v>206</v>
      </c>
      <c r="C28" s="59">
        <v>2703</v>
      </c>
      <c r="D28" s="60">
        <v>46003</v>
      </c>
      <c r="E28" s="60">
        <v>47799</v>
      </c>
      <c r="F28" s="60">
        <v>47829</v>
      </c>
      <c r="G28" s="60">
        <v>49625</v>
      </c>
      <c r="H28" s="60" t="s">
        <v>87</v>
      </c>
      <c r="I28" s="60" t="s">
        <v>87</v>
      </c>
      <c r="J28" s="61">
        <v>4.5999999999999996</v>
      </c>
      <c r="K28" s="61">
        <v>9.6</v>
      </c>
      <c r="L28" s="62">
        <v>36761</v>
      </c>
      <c r="M28" s="63">
        <v>13.6</v>
      </c>
      <c r="N28" s="64"/>
      <c r="O28" s="64"/>
      <c r="P28" s="64"/>
      <c r="Q28" s="63"/>
      <c r="R28" s="63"/>
      <c r="S28" s="63">
        <v>14</v>
      </c>
      <c r="T28" s="65">
        <v>7.2499999999999995E-2</v>
      </c>
      <c r="U28" s="65">
        <f t="shared" si="1"/>
        <v>5.2499999999999998E-2</v>
      </c>
      <c r="V28" s="63"/>
      <c r="W28" s="63"/>
      <c r="X28" s="66">
        <v>0.02</v>
      </c>
      <c r="Y28" s="61" t="s">
        <v>125</v>
      </c>
      <c r="Z28" s="61" t="s">
        <v>112</v>
      </c>
      <c r="AA28" s="61" t="s">
        <v>119</v>
      </c>
      <c r="AB28" s="67" t="s">
        <v>207</v>
      </c>
    </row>
    <row r="29" spans="1:28" s="56" customFormat="1" ht="14.25" customHeight="1">
      <c r="A29" s="56" t="s">
        <v>208</v>
      </c>
      <c r="B29" s="56" t="s">
        <v>209</v>
      </c>
      <c r="C29" s="68">
        <v>2285</v>
      </c>
      <c r="D29" s="69" t="s">
        <v>210</v>
      </c>
      <c r="E29" s="81" t="s">
        <v>211</v>
      </c>
      <c r="F29" s="70"/>
      <c r="G29" s="71" t="s">
        <v>212</v>
      </c>
      <c r="H29" s="81" t="s">
        <v>86</v>
      </c>
      <c r="I29" s="81"/>
      <c r="J29" s="61">
        <v>2</v>
      </c>
      <c r="K29" s="61">
        <v>4</v>
      </c>
      <c r="L29" s="72">
        <v>29150</v>
      </c>
      <c r="M29" s="73">
        <v>12.76</v>
      </c>
      <c r="N29" s="74"/>
      <c r="O29" s="74"/>
      <c r="P29" s="74">
        <v>12</v>
      </c>
      <c r="Q29" s="74">
        <v>6</v>
      </c>
      <c r="R29" s="73">
        <v>25</v>
      </c>
      <c r="S29" s="73">
        <v>14</v>
      </c>
      <c r="T29" s="65">
        <v>7.2499999999999995E-2</v>
      </c>
      <c r="U29" s="65">
        <f t="shared" si="1"/>
        <v>5.2499999999999998E-2</v>
      </c>
      <c r="V29" s="73"/>
      <c r="W29" s="73"/>
      <c r="X29" s="75">
        <v>0.02</v>
      </c>
      <c r="Y29" s="76" t="s">
        <v>125</v>
      </c>
      <c r="Z29" s="76" t="s">
        <v>112</v>
      </c>
      <c r="AA29" s="76" t="s">
        <v>126</v>
      </c>
      <c r="AB29" s="77" t="s">
        <v>213</v>
      </c>
    </row>
    <row r="30" spans="1:28" s="56" customFormat="1" ht="14.25" customHeight="1">
      <c r="A30" s="82" t="s">
        <v>214</v>
      </c>
      <c r="B30" s="82"/>
      <c r="C30" s="83">
        <f>SUM(C2:C29)</f>
        <v>191971</v>
      </c>
      <c r="D30" s="82"/>
      <c r="E30" s="82"/>
      <c r="F30" s="82"/>
      <c r="G30" s="82"/>
      <c r="H30" s="82"/>
      <c r="I30" s="82"/>
      <c r="J30" s="84">
        <f>AVERAGE(J2:J29)</f>
        <v>2.2639999999999998</v>
      </c>
      <c r="K30" s="84">
        <f>AVERAGE(K2:K29)</f>
        <v>4.024</v>
      </c>
      <c r="L30" s="85">
        <f>SUM(L2:L29)</f>
        <v>1868454</v>
      </c>
      <c r="M30" s="86">
        <f>L30/C30</f>
        <v>9.7330013387438736</v>
      </c>
      <c r="N30" s="87"/>
      <c r="O30" s="87"/>
      <c r="P30" s="87"/>
      <c r="Q30" s="86"/>
      <c r="R30" s="86"/>
      <c r="S30" s="86"/>
      <c r="T30" s="86"/>
      <c r="U30" s="86"/>
      <c r="V30" s="86"/>
      <c r="W30" s="86"/>
      <c r="X30" s="88">
        <f>SUM(X2:X29)</f>
        <v>1.0100000000000002</v>
      </c>
      <c r="Y30" s="82"/>
      <c r="Z30" s="82"/>
      <c r="AA30" s="82"/>
      <c r="AB30" s="82"/>
    </row>
    <row r="33" spans="3:3" ht="14.25" customHeight="1">
      <c r="C33" s="3">
        <f>SUM(C29,C23,C21,C7,C4,C14,C25,C6)</f>
        <v>45818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87"/>
  <sheetViews>
    <sheetView zoomScaleNormal="100" workbookViewId="0"/>
  </sheetViews>
  <sheetFormatPr defaultColWidth="8.6640625" defaultRowHeight="14.25"/>
  <cols>
    <col min="1" max="1" width="142.1328125" customWidth="1"/>
  </cols>
  <sheetData>
    <row r="1" spans="1:1" ht="18" customHeight="1">
      <c r="A1" s="89" t="s">
        <v>215</v>
      </c>
    </row>
    <row r="2" spans="1:1" ht="14.25" customHeight="1">
      <c r="A2" s="2" t="s">
        <v>216</v>
      </c>
    </row>
    <row r="3" spans="1:1" ht="14.25" customHeight="1">
      <c r="A3" t="s">
        <v>217</v>
      </c>
    </row>
    <row r="4" spans="1:1" ht="15.75" customHeight="1">
      <c r="A4" s="90" t="s">
        <v>218</v>
      </c>
    </row>
    <row r="5" spans="1:1" ht="14.25" customHeight="1">
      <c r="A5" t="s">
        <v>219</v>
      </c>
    </row>
    <row r="7" spans="1:1" ht="14.25" customHeight="1">
      <c r="A7" s="1" t="s">
        <v>220</v>
      </c>
    </row>
    <row r="8" spans="1:1" ht="14.25" customHeight="1">
      <c r="A8" t="s">
        <v>221</v>
      </c>
    </row>
    <row r="9" spans="1:1" ht="14.25" customHeight="1">
      <c r="A9" t="s">
        <v>222</v>
      </c>
    </row>
    <row r="11" spans="1:1" ht="14.25" customHeight="1">
      <c r="A11" s="1" t="s">
        <v>223</v>
      </c>
    </row>
    <row r="12" spans="1:1" ht="14.25" customHeight="1">
      <c r="A12" t="s">
        <v>224</v>
      </c>
    </row>
    <row r="14" spans="1:1" ht="14.25" customHeight="1">
      <c r="A14" s="1" t="s">
        <v>225</v>
      </c>
    </row>
    <row r="15" spans="1:1" ht="14.25" customHeight="1">
      <c r="A15" t="s">
        <v>226</v>
      </c>
    </row>
    <row r="16" spans="1:1" ht="14.25" customHeight="1">
      <c r="A16" t="s">
        <v>227</v>
      </c>
    </row>
    <row r="17" spans="1:1" ht="14.25" customHeight="1">
      <c r="A17" t="s">
        <v>228</v>
      </c>
    </row>
    <row r="18" spans="1:1" ht="14.25" customHeight="1">
      <c r="A18" t="s">
        <v>229</v>
      </c>
    </row>
    <row r="19" spans="1:1" ht="14.25" customHeight="1">
      <c r="A19" t="s">
        <v>230</v>
      </c>
    </row>
    <row r="21" spans="1:1" ht="14.25" customHeight="1">
      <c r="A21" s="1" t="s">
        <v>231</v>
      </c>
    </row>
    <row r="22" spans="1:1" ht="14.25" customHeight="1">
      <c r="A22" t="s">
        <v>232</v>
      </c>
    </row>
    <row r="23" spans="1:1" ht="14.25" customHeight="1">
      <c r="A23" t="s">
        <v>233</v>
      </c>
    </row>
    <row r="24" spans="1:1" ht="14.25" customHeight="1">
      <c r="A24" t="s">
        <v>234</v>
      </c>
    </row>
    <row r="25" spans="1:1" ht="14.25" customHeight="1">
      <c r="A25" t="s">
        <v>235</v>
      </c>
    </row>
    <row r="26" spans="1:1" ht="14.25" customHeight="1">
      <c r="A26" t="s">
        <v>236</v>
      </c>
    </row>
    <row r="27" spans="1:1" ht="14.25" customHeight="1">
      <c r="A27" t="s">
        <v>237</v>
      </c>
    </row>
    <row r="28" spans="1:1" ht="14.25" customHeight="1">
      <c r="A28" t="s">
        <v>238</v>
      </c>
    </row>
    <row r="29" spans="1:1" ht="14.25" customHeight="1">
      <c r="A29" t="s">
        <v>239</v>
      </c>
    </row>
    <row r="30" spans="1:1" ht="14.25" customHeight="1">
      <c r="A30" t="s">
        <v>240</v>
      </c>
    </row>
    <row r="31" spans="1:1" ht="14.25" customHeight="1">
      <c r="A31" t="s">
        <v>241</v>
      </c>
    </row>
    <row r="32" spans="1:1" ht="14.25" customHeight="1">
      <c r="A32" t="s">
        <v>242</v>
      </c>
    </row>
    <row r="33" spans="1:1" ht="14.25" customHeight="1">
      <c r="A33" t="s">
        <v>243</v>
      </c>
    </row>
    <row r="34" spans="1:1" ht="14.25" customHeight="1">
      <c r="A34" t="s">
        <v>244</v>
      </c>
    </row>
    <row r="35" spans="1:1" ht="14.25" customHeight="1">
      <c r="A35" t="s">
        <v>245</v>
      </c>
    </row>
    <row r="36" spans="1:1" ht="14.25" customHeight="1">
      <c r="A36" t="s">
        <v>246</v>
      </c>
    </row>
    <row r="38" spans="1:1" ht="14.25" customHeight="1">
      <c r="A38" s="1" t="s">
        <v>247</v>
      </c>
    </row>
    <row r="39" spans="1:1" ht="14.25" customHeight="1">
      <c r="A39" t="s">
        <v>248</v>
      </c>
    </row>
    <row r="40" spans="1:1" ht="14.25" customHeight="1">
      <c r="A40" t="s">
        <v>249</v>
      </c>
    </row>
    <row r="41" spans="1:1" ht="14.25" customHeight="1">
      <c r="A41" t="s">
        <v>250</v>
      </c>
    </row>
    <row r="42" spans="1:1" ht="14.25" customHeight="1">
      <c r="A42" t="s">
        <v>251</v>
      </c>
    </row>
    <row r="43" spans="1:1" ht="14.25" customHeight="1">
      <c r="A43" t="s">
        <v>252</v>
      </c>
    </row>
    <row r="45" spans="1:1" ht="15.75" customHeight="1">
      <c r="A45" s="90" t="s">
        <v>253</v>
      </c>
    </row>
    <row r="46" spans="1:1" ht="14.25" customHeight="1">
      <c r="A46" s="1" t="s">
        <v>254</v>
      </c>
    </row>
    <row r="47" spans="1:1" ht="14.25" customHeight="1">
      <c r="A47" t="s">
        <v>255</v>
      </c>
    </row>
    <row r="48" spans="1:1" ht="14.25" customHeight="1">
      <c r="A48" t="s">
        <v>256</v>
      </c>
    </row>
    <row r="49" spans="1:1" ht="14.25" customHeight="1">
      <c r="A49" t="s">
        <v>257</v>
      </c>
    </row>
    <row r="50" spans="1:1" ht="14.25" customHeight="1">
      <c r="A50" s="1" t="s">
        <v>258</v>
      </c>
    </row>
    <row r="51" spans="1:1" ht="14.25" customHeight="1">
      <c r="A51" t="s">
        <v>259</v>
      </c>
    </row>
    <row r="52" spans="1:1" ht="14.25" customHeight="1">
      <c r="A52" t="s">
        <v>260</v>
      </c>
    </row>
    <row r="53" spans="1:1" ht="14.25" customHeight="1">
      <c r="A53" t="s">
        <v>261</v>
      </c>
    </row>
    <row r="54" spans="1:1" ht="14.25" customHeight="1">
      <c r="A54" t="s">
        <v>262</v>
      </c>
    </row>
    <row r="55" spans="1:1" ht="14.25" customHeight="1">
      <c r="A55" t="s">
        <v>263</v>
      </c>
    </row>
    <row r="57" spans="1:1" ht="15.75" customHeight="1">
      <c r="A57" s="90" t="s">
        <v>264</v>
      </c>
    </row>
    <row r="58" spans="1:1" ht="14.25" customHeight="1">
      <c r="A58" t="s">
        <v>265</v>
      </c>
    </row>
    <row r="59" spans="1:1" ht="14.25" customHeight="1">
      <c r="A59" s="91" t="s">
        <v>266</v>
      </c>
    </row>
    <row r="60" spans="1:1" ht="14.25" customHeight="1">
      <c r="A60" t="s">
        <v>267</v>
      </c>
    </row>
    <row r="61" spans="1:1" ht="14.25" customHeight="1">
      <c r="A61" t="s">
        <v>268</v>
      </c>
    </row>
    <row r="62" spans="1:1" ht="14.25" customHeight="1">
      <c r="A62" t="s">
        <v>269</v>
      </c>
    </row>
    <row r="63" spans="1:1" ht="14.25" customHeight="1">
      <c r="A63" t="s">
        <v>270</v>
      </c>
    </row>
    <row r="64" spans="1:1" ht="14.25" customHeight="1">
      <c r="A64" t="s">
        <v>271</v>
      </c>
    </row>
    <row r="65" spans="1:1" ht="14.25" customHeight="1">
      <c r="A65" s="1" t="s">
        <v>272</v>
      </c>
    </row>
    <row r="66" spans="1:1" ht="14.25" customHeight="1">
      <c r="A66" t="s">
        <v>273</v>
      </c>
    </row>
    <row r="68" spans="1:1" ht="15.75" customHeight="1">
      <c r="A68" s="90" t="s">
        <v>274</v>
      </c>
    </row>
    <row r="69" spans="1:1" ht="14.25" customHeight="1">
      <c r="A69" s="91" t="s">
        <v>275</v>
      </c>
    </row>
    <row r="71" spans="1:1" ht="14.25" customHeight="1">
      <c r="A71" s="1" t="s">
        <v>276</v>
      </c>
    </row>
    <row r="72" spans="1:1" ht="14.25" customHeight="1">
      <c r="A72" t="s">
        <v>277</v>
      </c>
    </row>
    <row r="73" spans="1:1" ht="14.25" customHeight="1">
      <c r="A73" t="s">
        <v>278</v>
      </c>
    </row>
    <row r="74" spans="1:1" ht="14.25" customHeight="1">
      <c r="A74" t="s">
        <v>279</v>
      </c>
    </row>
    <row r="75" spans="1:1" ht="14.25" customHeight="1">
      <c r="A75" t="s">
        <v>280</v>
      </c>
    </row>
    <row r="76" spans="1:1" ht="14.25" customHeight="1">
      <c r="A76" t="s">
        <v>281</v>
      </c>
    </row>
    <row r="77" spans="1:1" ht="14.25" customHeight="1">
      <c r="A77" t="s">
        <v>282</v>
      </c>
    </row>
    <row r="79" spans="1:1" ht="14.25" customHeight="1">
      <c r="A79" s="1" t="s">
        <v>283</v>
      </c>
    </row>
    <row r="80" spans="1:1" ht="14.25" customHeight="1">
      <c r="A80" t="s">
        <v>284</v>
      </c>
    </row>
    <row r="81" spans="1:1" ht="14.25" customHeight="1">
      <c r="A81" s="91" t="s">
        <v>285</v>
      </c>
    </row>
    <row r="82" spans="1:1" ht="14.25" customHeight="1">
      <c r="A82" t="s">
        <v>286</v>
      </c>
    </row>
    <row r="83" spans="1:1" ht="14.25" customHeight="1">
      <c r="A83" t="s">
        <v>287</v>
      </c>
    </row>
    <row r="84" spans="1:1" ht="14.25" customHeight="1">
      <c r="A84" t="s">
        <v>288</v>
      </c>
    </row>
    <row r="85" spans="1:1" ht="14.25" customHeight="1">
      <c r="A85" t="s">
        <v>289</v>
      </c>
    </row>
    <row r="86" spans="1:1" ht="14.25" customHeight="1">
      <c r="A86" t="s">
        <v>290</v>
      </c>
    </row>
    <row r="88" spans="1:1" ht="14.25" customHeight="1">
      <c r="A88" s="1" t="s">
        <v>291</v>
      </c>
    </row>
    <row r="89" spans="1:1" ht="14.25" customHeight="1">
      <c r="A89" t="s">
        <v>292</v>
      </c>
    </row>
    <row r="90" spans="1:1" ht="14.25" customHeight="1">
      <c r="A90" t="s">
        <v>293</v>
      </c>
    </row>
    <row r="91" spans="1:1" ht="14.25" customHeight="1">
      <c r="A91" t="s">
        <v>294</v>
      </c>
    </row>
    <row r="93" spans="1:1" ht="14.25" customHeight="1">
      <c r="A93" s="1" t="s">
        <v>295</v>
      </c>
    </row>
    <row r="94" spans="1:1" ht="14.25" customHeight="1">
      <c r="A94" t="s">
        <v>296</v>
      </c>
    </row>
    <row r="95" spans="1:1" ht="14.25" customHeight="1">
      <c r="A95" t="s">
        <v>297</v>
      </c>
    </row>
    <row r="96" spans="1:1" ht="14.25" customHeight="1">
      <c r="A96" t="s">
        <v>298</v>
      </c>
    </row>
    <row r="97" spans="1:1" ht="14.25" customHeight="1">
      <c r="A97" t="s">
        <v>299</v>
      </c>
    </row>
    <row r="99" spans="1:1" ht="14.25" customHeight="1">
      <c r="A99" s="1" t="s">
        <v>300</v>
      </c>
    </row>
    <row r="100" spans="1:1" ht="14.25" customHeight="1">
      <c r="A100" t="s">
        <v>301</v>
      </c>
    </row>
    <row r="101" spans="1:1" ht="14.25" customHeight="1">
      <c r="A101" t="s">
        <v>302</v>
      </c>
    </row>
    <row r="102" spans="1:1" ht="14.25" customHeight="1">
      <c r="A102" t="s">
        <v>303</v>
      </c>
    </row>
    <row r="103" spans="1:1" ht="14.25" customHeight="1">
      <c r="A103" t="s">
        <v>304</v>
      </c>
    </row>
    <row r="104" spans="1:1" ht="14.25" customHeight="1">
      <c r="A104" t="s">
        <v>305</v>
      </c>
    </row>
    <row r="106" spans="1:1" ht="14.25" customHeight="1">
      <c r="A106" s="1" t="s">
        <v>306</v>
      </c>
    </row>
    <row r="107" spans="1:1" ht="14.25" customHeight="1">
      <c r="A107" t="s">
        <v>307</v>
      </c>
    </row>
    <row r="108" spans="1:1" ht="14.25" customHeight="1">
      <c r="A108" t="s">
        <v>308</v>
      </c>
    </row>
    <row r="109" spans="1:1" ht="14.25" customHeight="1">
      <c r="A109" t="s">
        <v>309</v>
      </c>
    </row>
    <row r="110" spans="1:1" ht="14.25" customHeight="1">
      <c r="A110" t="s">
        <v>310</v>
      </c>
    </row>
    <row r="112" spans="1:1" ht="14.25" customHeight="1">
      <c r="A112" s="1" t="s">
        <v>311</v>
      </c>
    </row>
    <row r="113" spans="1:1" ht="14.25" customHeight="1">
      <c r="A113" t="s">
        <v>312</v>
      </c>
    </row>
    <row r="114" spans="1:1" ht="14.25" customHeight="1">
      <c r="A114" t="s">
        <v>313</v>
      </c>
    </row>
    <row r="115" spans="1:1" ht="14.25" customHeight="1">
      <c r="A115" t="s">
        <v>314</v>
      </c>
    </row>
    <row r="116" spans="1:1" ht="14.25" customHeight="1">
      <c r="A116" t="s">
        <v>315</v>
      </c>
    </row>
    <row r="117" spans="1:1" ht="14.25" customHeight="1">
      <c r="A117" t="s">
        <v>316</v>
      </c>
    </row>
    <row r="118" spans="1:1" ht="14.25" customHeight="1">
      <c r="A118" t="s">
        <v>317</v>
      </c>
    </row>
    <row r="119" spans="1:1" ht="14.25" customHeight="1">
      <c r="A119" t="s">
        <v>318</v>
      </c>
    </row>
    <row r="121" spans="1:1" ht="14.25" customHeight="1">
      <c r="A121" s="1" t="s">
        <v>319</v>
      </c>
    </row>
    <row r="122" spans="1:1" ht="14.25" customHeight="1">
      <c r="A122" t="s">
        <v>320</v>
      </c>
    </row>
    <row r="123" spans="1:1" ht="14.25" customHeight="1">
      <c r="A123" t="s">
        <v>321</v>
      </c>
    </row>
    <row r="124" spans="1:1" ht="14.25" customHeight="1">
      <c r="A124" t="s">
        <v>322</v>
      </c>
    </row>
    <row r="125" spans="1:1" ht="14.25" customHeight="1">
      <c r="A125" t="s">
        <v>323</v>
      </c>
    </row>
    <row r="126" spans="1:1" ht="14.25" customHeight="1">
      <c r="A126" t="s">
        <v>324</v>
      </c>
    </row>
    <row r="127" spans="1:1" ht="14.25" customHeight="1">
      <c r="A127" t="s">
        <v>325</v>
      </c>
    </row>
    <row r="128" spans="1:1" ht="14.25" customHeight="1">
      <c r="A128" t="s">
        <v>326</v>
      </c>
    </row>
    <row r="130" spans="1:1" ht="14.25" customHeight="1">
      <c r="A130" s="91" t="s">
        <v>327</v>
      </c>
    </row>
    <row r="131" spans="1:1" ht="14.25" customHeight="1">
      <c r="A131" t="s">
        <v>328</v>
      </c>
    </row>
    <row r="132" spans="1:1" ht="14.25" customHeight="1">
      <c r="A132" t="s">
        <v>329</v>
      </c>
    </row>
    <row r="133" spans="1:1" ht="14.25" customHeight="1">
      <c r="A133" t="s">
        <v>330</v>
      </c>
    </row>
    <row r="135" spans="1:1" ht="15.75" customHeight="1">
      <c r="A135" s="90" t="s">
        <v>331</v>
      </c>
    </row>
    <row r="136" spans="1:1" ht="14.25" customHeight="1">
      <c r="A136" t="s">
        <v>332</v>
      </c>
    </row>
    <row r="137" spans="1:1" ht="14.25" customHeight="1">
      <c r="A137" t="s">
        <v>333</v>
      </c>
    </row>
    <row r="138" spans="1:1" ht="14.25" customHeight="1">
      <c r="A138" t="s">
        <v>334</v>
      </c>
    </row>
    <row r="139" spans="1:1" ht="14.25" customHeight="1">
      <c r="A139" t="s">
        <v>335</v>
      </c>
    </row>
    <row r="140" spans="1:1" ht="14.25" customHeight="1">
      <c r="A140" t="s">
        <v>336</v>
      </c>
    </row>
    <row r="141" spans="1:1" ht="14.25" customHeight="1">
      <c r="A141" t="s">
        <v>337</v>
      </c>
    </row>
    <row r="142" spans="1:1" ht="14.25" customHeight="1">
      <c r="A142" t="s">
        <v>338</v>
      </c>
    </row>
    <row r="144" spans="1:1" ht="14.25" customHeight="1">
      <c r="A144" s="1" t="s">
        <v>339</v>
      </c>
    </row>
    <row r="145" spans="1:1" ht="14.25" customHeight="1">
      <c r="A145" t="s">
        <v>340</v>
      </c>
    </row>
    <row r="146" spans="1:1" ht="14.25" customHeight="1">
      <c r="A146" t="s">
        <v>341</v>
      </c>
    </row>
    <row r="147" spans="1:1" ht="14.25" customHeight="1">
      <c r="A147" t="s">
        <v>342</v>
      </c>
    </row>
    <row r="148" spans="1:1" ht="14.25" customHeight="1">
      <c r="A148" t="s">
        <v>343</v>
      </c>
    </row>
    <row r="149" spans="1:1" ht="14.25" customHeight="1">
      <c r="A149" t="s">
        <v>344</v>
      </c>
    </row>
    <row r="151" spans="1:1" ht="14.25" customHeight="1">
      <c r="A151" s="1" t="s">
        <v>345</v>
      </c>
    </row>
    <row r="152" spans="1:1" ht="14.25" customHeight="1">
      <c r="A152" t="s">
        <v>346</v>
      </c>
    </row>
    <row r="154" spans="1:1" ht="14.25" customHeight="1">
      <c r="A154" s="1" t="s">
        <v>347</v>
      </c>
    </row>
    <row r="155" spans="1:1" ht="14.25" customHeight="1">
      <c r="A155" t="s">
        <v>348</v>
      </c>
    </row>
    <row r="157" spans="1:1" ht="15.75" customHeight="1">
      <c r="A157" s="90" t="s">
        <v>349</v>
      </c>
    </row>
    <row r="158" spans="1:1" ht="14.25" customHeight="1">
      <c r="A158" t="s">
        <v>350</v>
      </c>
    </row>
    <row r="159" spans="1:1" ht="14.25" customHeight="1">
      <c r="A159" t="s">
        <v>351</v>
      </c>
    </row>
    <row r="161" spans="1:1" ht="14.25" customHeight="1">
      <c r="A161" t="s">
        <v>352</v>
      </c>
    </row>
    <row r="162" spans="1:1" ht="14.25" customHeight="1">
      <c r="A162" t="s">
        <v>353</v>
      </c>
    </row>
    <row r="163" spans="1:1" ht="14.25" customHeight="1">
      <c r="A163" t="s">
        <v>354</v>
      </c>
    </row>
    <row r="164" spans="1:1" ht="14.25" customHeight="1">
      <c r="A164" t="s">
        <v>355</v>
      </c>
    </row>
    <row r="165" spans="1:1" ht="14.25" customHeight="1">
      <c r="A165" t="s">
        <v>356</v>
      </c>
    </row>
    <row r="166" spans="1:1" ht="14.25" customHeight="1">
      <c r="A166" t="s">
        <v>357</v>
      </c>
    </row>
    <row r="168" spans="1:1" ht="14.25" customHeight="1">
      <c r="A168" t="s">
        <v>358</v>
      </c>
    </row>
    <row r="169" spans="1:1" ht="14.25" customHeight="1">
      <c r="A169" t="s">
        <v>359</v>
      </c>
    </row>
    <row r="171" spans="1:1" ht="14.25" customHeight="1">
      <c r="A171" t="s">
        <v>360</v>
      </c>
    </row>
    <row r="172" spans="1:1" ht="14.25" customHeight="1">
      <c r="A172" t="s">
        <v>361</v>
      </c>
    </row>
    <row r="173" spans="1:1" ht="14.25" customHeight="1">
      <c r="A173" t="s">
        <v>362</v>
      </c>
    </row>
    <row r="175" spans="1:1" ht="14.25" customHeight="1">
      <c r="A175" t="s">
        <v>363</v>
      </c>
    </row>
    <row r="176" spans="1:1" ht="14.25" customHeight="1">
      <c r="A176" t="s">
        <v>364</v>
      </c>
    </row>
    <row r="177" spans="1:1" ht="14.25" customHeight="1">
      <c r="A177" t="s">
        <v>365</v>
      </c>
    </row>
    <row r="179" spans="1:1" ht="14.25" customHeight="1">
      <c r="A179" t="s">
        <v>366</v>
      </c>
    </row>
    <row r="180" spans="1:1" ht="14.25" customHeight="1">
      <c r="A180" t="s">
        <v>367</v>
      </c>
    </row>
    <row r="181" spans="1:1" ht="14.25" customHeight="1">
      <c r="A181" t="s">
        <v>368</v>
      </c>
    </row>
    <row r="182" spans="1:1" ht="14.25" customHeight="1">
      <c r="A182" t="s">
        <v>369</v>
      </c>
    </row>
    <row r="183" spans="1:1" ht="14.25" customHeight="1">
      <c r="A183" t="s">
        <v>370</v>
      </c>
    </row>
    <row r="185" spans="1:1" ht="15.75" customHeight="1">
      <c r="A185" s="90" t="s">
        <v>371</v>
      </c>
    </row>
    <row r="186" spans="1:1" ht="14.25" customHeight="1">
      <c r="A186" s="1" t="s">
        <v>372</v>
      </c>
    </row>
    <row r="187" spans="1:1" ht="14.25" customHeight="1">
      <c r="A187" t="s">
        <v>373</v>
      </c>
    </row>
    <row r="188" spans="1:1" ht="14.25" customHeight="1">
      <c r="A188" t="s">
        <v>374</v>
      </c>
    </row>
    <row r="189" spans="1:1" ht="14.25" customHeight="1">
      <c r="A189" t="s">
        <v>375</v>
      </c>
    </row>
    <row r="190" spans="1:1" ht="14.25" customHeight="1">
      <c r="A190" t="s">
        <v>376</v>
      </c>
    </row>
    <row r="191" spans="1:1" ht="14.25" customHeight="1">
      <c r="A191" t="s">
        <v>377</v>
      </c>
    </row>
    <row r="192" spans="1:1" ht="14.25" customHeight="1">
      <c r="A192" t="s">
        <v>378</v>
      </c>
    </row>
    <row r="193" spans="1:1" ht="14.25" customHeight="1">
      <c r="A193" t="s">
        <v>379</v>
      </c>
    </row>
    <row r="195" spans="1:1" ht="14.25" customHeight="1">
      <c r="A195" s="1" t="s">
        <v>380</v>
      </c>
    </row>
    <row r="196" spans="1:1" ht="14.25" customHeight="1">
      <c r="A196" t="s">
        <v>381</v>
      </c>
    </row>
    <row r="197" spans="1:1" ht="14.25" customHeight="1">
      <c r="A197" t="s">
        <v>382</v>
      </c>
    </row>
    <row r="198" spans="1:1" ht="14.25" customHeight="1">
      <c r="A198" t="s">
        <v>383</v>
      </c>
    </row>
    <row r="199" spans="1:1" ht="14.25" customHeight="1">
      <c r="A199" t="s">
        <v>384</v>
      </c>
    </row>
    <row r="200" spans="1:1" ht="14.25" customHeight="1">
      <c r="A200" t="s">
        <v>385</v>
      </c>
    </row>
    <row r="201" spans="1:1" ht="14.25" customHeight="1">
      <c r="A201" t="s">
        <v>386</v>
      </c>
    </row>
    <row r="203" spans="1:1" ht="14.25" customHeight="1">
      <c r="A203" s="1" t="s">
        <v>387</v>
      </c>
    </row>
    <row r="204" spans="1:1" ht="14.25" customHeight="1">
      <c r="A204" t="s">
        <v>388</v>
      </c>
    </row>
    <row r="205" spans="1:1" ht="14.25" customHeight="1">
      <c r="A205" t="s">
        <v>389</v>
      </c>
    </row>
    <row r="206" spans="1:1" ht="14.25" customHeight="1">
      <c r="A206" t="s">
        <v>390</v>
      </c>
    </row>
    <row r="207" spans="1:1" ht="14.25" customHeight="1">
      <c r="A207" t="s">
        <v>391</v>
      </c>
    </row>
    <row r="208" spans="1:1" ht="14.25" customHeight="1">
      <c r="A208" t="s">
        <v>392</v>
      </c>
    </row>
    <row r="210" spans="1:1" ht="14.25" customHeight="1">
      <c r="A210" s="1" t="s">
        <v>393</v>
      </c>
    </row>
    <row r="211" spans="1:1" ht="14.25" customHeight="1">
      <c r="A211" t="s">
        <v>394</v>
      </c>
    </row>
    <row r="213" spans="1:1" ht="15.75" customHeight="1">
      <c r="A213" s="90" t="s">
        <v>395</v>
      </c>
    </row>
    <row r="214" spans="1:1" ht="14.25" customHeight="1">
      <c r="A214" t="s">
        <v>396</v>
      </c>
    </row>
    <row r="215" spans="1:1" ht="14.25" customHeight="1">
      <c r="A215" t="s">
        <v>397</v>
      </c>
    </row>
    <row r="217" spans="1:1" ht="14.25" customHeight="1">
      <c r="A217" s="1" t="s">
        <v>398</v>
      </c>
    </row>
    <row r="218" spans="1:1" ht="14.25" customHeight="1">
      <c r="A218" t="s">
        <v>399</v>
      </c>
    </row>
    <row r="220" spans="1:1" ht="14.25" customHeight="1">
      <c r="A220" s="1" t="s">
        <v>400</v>
      </c>
    </row>
    <row r="221" spans="1:1" ht="14.25" customHeight="1">
      <c r="A221" t="s">
        <v>401</v>
      </c>
    </row>
    <row r="223" spans="1:1" ht="14.25" customHeight="1">
      <c r="A223" s="1" t="s">
        <v>402</v>
      </c>
    </row>
    <row r="224" spans="1:1" ht="14.25" customHeight="1">
      <c r="A224" t="s">
        <v>403</v>
      </c>
    </row>
    <row r="226" spans="1:1" ht="14.25" customHeight="1">
      <c r="A226" s="1" t="s">
        <v>404</v>
      </c>
    </row>
    <row r="227" spans="1:1" ht="14.25" customHeight="1">
      <c r="A227" t="s">
        <v>405</v>
      </c>
    </row>
    <row r="228" spans="1:1" ht="14.25" customHeight="1">
      <c r="A228" t="s">
        <v>406</v>
      </c>
    </row>
    <row r="229" spans="1:1" ht="14.25" customHeight="1">
      <c r="A229" t="s">
        <v>407</v>
      </c>
    </row>
    <row r="230" spans="1:1" ht="14.25" customHeight="1">
      <c r="A230" t="s">
        <v>408</v>
      </c>
    </row>
    <row r="232" spans="1:1" ht="14.25" customHeight="1">
      <c r="A232" s="1" t="s">
        <v>409</v>
      </c>
    </row>
    <row r="233" spans="1:1" ht="14.25" customHeight="1">
      <c r="A233" t="s">
        <v>410</v>
      </c>
    </row>
    <row r="235" spans="1:1" ht="14.25" customHeight="1">
      <c r="A235" s="1" t="s">
        <v>411</v>
      </c>
    </row>
    <row r="236" spans="1:1" ht="14.25" customHeight="1">
      <c r="A236" t="s">
        <v>412</v>
      </c>
    </row>
    <row r="238" spans="1:1" ht="15.75" customHeight="1">
      <c r="A238" s="90" t="s">
        <v>413</v>
      </c>
    </row>
    <row r="239" spans="1:1" ht="14.25" customHeight="1">
      <c r="A239" t="s">
        <v>414</v>
      </c>
    </row>
    <row r="240" spans="1:1" ht="14.25" customHeight="1">
      <c r="A240" t="s">
        <v>415</v>
      </c>
    </row>
    <row r="241" spans="1:1" ht="14.25" customHeight="1">
      <c r="A241" t="s">
        <v>416</v>
      </c>
    </row>
    <row r="242" spans="1:1" ht="14.25" customHeight="1">
      <c r="A242" t="s">
        <v>417</v>
      </c>
    </row>
    <row r="243" spans="1:1" ht="14.25" customHeight="1">
      <c r="A243" t="s">
        <v>418</v>
      </c>
    </row>
    <row r="244" spans="1:1" ht="14.25" customHeight="1">
      <c r="A244" t="s">
        <v>419</v>
      </c>
    </row>
    <row r="245" spans="1:1" ht="14.25" customHeight="1">
      <c r="A245" t="s">
        <v>420</v>
      </c>
    </row>
    <row r="246" spans="1:1" ht="14.25" customHeight="1">
      <c r="A246" t="s">
        <v>421</v>
      </c>
    </row>
    <row r="247" spans="1:1" ht="14.25" customHeight="1">
      <c r="A247" t="s">
        <v>422</v>
      </c>
    </row>
    <row r="249" spans="1:1" ht="15.75" customHeight="1">
      <c r="A249" s="90" t="s">
        <v>423</v>
      </c>
    </row>
    <row r="250" spans="1:1" ht="14.25" customHeight="1">
      <c r="A250" s="1" t="s">
        <v>424</v>
      </c>
    </row>
    <row r="251" spans="1:1" ht="14.25" customHeight="1">
      <c r="A251" t="s">
        <v>425</v>
      </c>
    </row>
    <row r="252" spans="1:1" ht="14.25" customHeight="1">
      <c r="A252" t="s">
        <v>426</v>
      </c>
    </row>
    <row r="253" spans="1:1" ht="14.25" customHeight="1">
      <c r="A253" t="s">
        <v>427</v>
      </c>
    </row>
    <row r="255" spans="1:1" ht="14.25" customHeight="1">
      <c r="A255" s="1" t="s">
        <v>428</v>
      </c>
    </row>
    <row r="256" spans="1:1" ht="14.25" customHeight="1">
      <c r="A256" t="s">
        <v>429</v>
      </c>
    </row>
    <row r="257" spans="1:1" ht="14.25" customHeight="1">
      <c r="A257" t="s">
        <v>430</v>
      </c>
    </row>
    <row r="258" spans="1:1" ht="14.25" customHeight="1">
      <c r="A258" t="s">
        <v>431</v>
      </c>
    </row>
    <row r="259" spans="1:1" ht="14.25" customHeight="1">
      <c r="A259" t="s">
        <v>432</v>
      </c>
    </row>
    <row r="260" spans="1:1" ht="14.25" customHeight="1">
      <c r="A260" t="s">
        <v>433</v>
      </c>
    </row>
    <row r="261" spans="1:1" ht="14.25" customHeight="1">
      <c r="A261" t="s">
        <v>434</v>
      </c>
    </row>
    <row r="262" spans="1:1" ht="14.25" customHeight="1">
      <c r="A262" t="s">
        <v>435</v>
      </c>
    </row>
    <row r="263" spans="1:1" ht="14.25" customHeight="1">
      <c r="A263" t="s">
        <v>436</v>
      </c>
    </row>
    <row r="264" spans="1:1" ht="14.25" customHeight="1">
      <c r="A264" t="s">
        <v>437</v>
      </c>
    </row>
    <row r="265" spans="1:1" ht="14.25" customHeight="1">
      <c r="A265" t="s">
        <v>438</v>
      </c>
    </row>
    <row r="266" spans="1:1" ht="14.25" customHeight="1">
      <c r="A266" t="s">
        <v>439</v>
      </c>
    </row>
    <row r="267" spans="1:1" ht="14.25" customHeight="1">
      <c r="A267" t="s">
        <v>440</v>
      </c>
    </row>
    <row r="268" spans="1:1" ht="14.25" customHeight="1">
      <c r="A268" t="s">
        <v>441</v>
      </c>
    </row>
    <row r="269" spans="1:1" ht="14.25" customHeight="1">
      <c r="A269" t="s">
        <v>442</v>
      </c>
    </row>
    <row r="270" spans="1:1" ht="14.25" customHeight="1">
      <c r="A270" t="s">
        <v>443</v>
      </c>
    </row>
    <row r="272" spans="1:1" ht="15.75" customHeight="1">
      <c r="A272" s="90" t="s">
        <v>444</v>
      </c>
    </row>
    <row r="273" spans="1:1" ht="14.25" customHeight="1">
      <c r="A273" t="s">
        <v>445</v>
      </c>
    </row>
    <row r="274" spans="1:1" ht="14.25" customHeight="1">
      <c r="A274" t="s">
        <v>446</v>
      </c>
    </row>
    <row r="275" spans="1:1" ht="14.25" customHeight="1">
      <c r="A275" t="s">
        <v>447</v>
      </c>
    </row>
    <row r="276" spans="1:1" ht="14.25" customHeight="1">
      <c r="A276" t="s">
        <v>448</v>
      </c>
    </row>
    <row r="277" spans="1:1" ht="14.25" customHeight="1">
      <c r="A277" t="s">
        <v>449</v>
      </c>
    </row>
    <row r="278" spans="1:1" ht="14.25" customHeight="1">
      <c r="A278" t="s">
        <v>450</v>
      </c>
    </row>
    <row r="279" spans="1:1" ht="14.25" customHeight="1">
      <c r="A279" t="s">
        <v>451</v>
      </c>
    </row>
    <row r="280" spans="1:1" ht="14.25" customHeight="1">
      <c r="A280" t="s">
        <v>452</v>
      </c>
    </row>
    <row r="281" spans="1:1" ht="14.25" customHeight="1">
      <c r="A281" t="s">
        <v>453</v>
      </c>
    </row>
    <row r="282" spans="1:1" ht="14.25" customHeight="1">
      <c r="A282" t="s">
        <v>454</v>
      </c>
    </row>
    <row r="283" spans="1:1" ht="14.25" customHeight="1">
      <c r="A283" t="s">
        <v>455</v>
      </c>
    </row>
    <row r="284" spans="1:1" ht="14.25" customHeight="1">
      <c r="A284" t="s">
        <v>456</v>
      </c>
    </row>
    <row r="285" spans="1:1" ht="14.25" customHeight="1">
      <c r="A285" t="s">
        <v>457</v>
      </c>
    </row>
    <row r="287" spans="1:1" ht="14.25" customHeight="1">
      <c r="A287" s="92" t="s">
        <v>458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53"/>
  <sheetViews>
    <sheetView zoomScaleNormal="100" workbookViewId="0"/>
  </sheetViews>
  <sheetFormatPr defaultColWidth="8.6640625" defaultRowHeight="14.25"/>
  <sheetData>
    <row r="1" spans="1:4" ht="14.25" customHeight="1">
      <c r="A1" t="s">
        <v>459</v>
      </c>
      <c r="B1" t="s">
        <v>82</v>
      </c>
      <c r="C1" t="s">
        <v>460</v>
      </c>
      <c r="D1" t="s">
        <v>461</v>
      </c>
    </row>
    <row r="2" spans="1:4" ht="14.25" customHeight="1">
      <c r="A2" t="s">
        <v>462</v>
      </c>
      <c r="B2" t="s">
        <v>463</v>
      </c>
      <c r="C2" t="s">
        <v>464</v>
      </c>
      <c r="D2">
        <v>4.3999999999999997E-2</v>
      </c>
    </row>
    <row r="3" spans="1:4" ht="14.25" customHeight="1">
      <c r="A3" t="s">
        <v>462</v>
      </c>
      <c r="B3" t="s">
        <v>463</v>
      </c>
      <c r="C3" t="s">
        <v>465</v>
      </c>
      <c r="D3">
        <v>4.3999999999999997E-2</v>
      </c>
    </row>
    <row r="4" spans="1:4" ht="14.25" customHeight="1">
      <c r="A4" t="s">
        <v>462</v>
      </c>
      <c r="B4" t="s">
        <v>463</v>
      </c>
      <c r="C4" t="s">
        <v>466</v>
      </c>
      <c r="D4">
        <v>4.3999999999999997E-2</v>
      </c>
    </row>
    <row r="5" spans="1:4" ht="14.25" customHeight="1">
      <c r="A5" t="s">
        <v>462</v>
      </c>
      <c r="B5" t="s">
        <v>463</v>
      </c>
      <c r="C5" t="s">
        <v>467</v>
      </c>
      <c r="D5">
        <v>4.3999999999999997E-2</v>
      </c>
    </row>
    <row r="6" spans="1:4" ht="14.25" customHeight="1">
      <c r="A6" t="s">
        <v>462</v>
      </c>
      <c r="B6" t="s">
        <v>463</v>
      </c>
      <c r="C6" t="s">
        <v>468</v>
      </c>
      <c r="D6">
        <v>4.3999999999999997E-2</v>
      </c>
    </row>
    <row r="7" spans="1:4" ht="14.25" customHeight="1">
      <c r="A7" t="s">
        <v>462</v>
      </c>
      <c r="B7" t="s">
        <v>463</v>
      </c>
      <c r="C7" t="s">
        <v>469</v>
      </c>
      <c r="D7">
        <v>4.3999999999999997E-2</v>
      </c>
    </row>
    <row r="8" spans="1:4" ht="14.25" customHeight="1">
      <c r="A8" t="s">
        <v>462</v>
      </c>
      <c r="B8" t="s">
        <v>463</v>
      </c>
      <c r="C8" t="s">
        <v>470</v>
      </c>
      <c r="D8">
        <v>4.3999999999999997E-2</v>
      </c>
    </row>
    <row r="9" spans="1:4" ht="14.25" customHeight="1">
      <c r="A9" t="s">
        <v>462</v>
      </c>
      <c r="B9" t="s">
        <v>463</v>
      </c>
      <c r="C9" t="s">
        <v>471</v>
      </c>
      <c r="D9">
        <v>4.3999999999999997E-2</v>
      </c>
    </row>
    <row r="10" spans="1:4" ht="14.25" customHeight="1">
      <c r="A10" t="s">
        <v>462</v>
      </c>
      <c r="B10" t="s">
        <v>463</v>
      </c>
      <c r="C10" t="s">
        <v>472</v>
      </c>
      <c r="D10">
        <v>4.3999999999999997E-2</v>
      </c>
    </row>
    <row r="11" spans="1:4" ht="14.25" customHeight="1">
      <c r="A11" t="s">
        <v>462</v>
      </c>
      <c r="B11" t="s">
        <v>463</v>
      </c>
      <c r="C11" t="s">
        <v>473</v>
      </c>
      <c r="D11">
        <v>4.3999999999999997E-2</v>
      </c>
    </row>
    <row r="12" spans="1:4" ht="14.25" customHeight="1">
      <c r="A12" t="s">
        <v>462</v>
      </c>
      <c r="B12" t="s">
        <v>463</v>
      </c>
      <c r="C12" t="s">
        <v>474</v>
      </c>
      <c r="D12">
        <v>4.3999999999999997E-2</v>
      </c>
    </row>
    <row r="13" spans="1:4" ht="14.25" customHeight="1">
      <c r="A13" t="s">
        <v>462</v>
      </c>
      <c r="B13" t="s">
        <v>463</v>
      </c>
      <c r="C13" t="s">
        <v>475</v>
      </c>
      <c r="D13">
        <v>4.3999999999999997E-2</v>
      </c>
    </row>
    <row r="14" spans="1:4" ht="14.25" customHeight="1">
      <c r="A14" t="s">
        <v>462</v>
      </c>
      <c r="B14" t="s">
        <v>463</v>
      </c>
      <c r="C14" t="s">
        <v>476</v>
      </c>
      <c r="D14">
        <v>4.3999999999999997E-2</v>
      </c>
    </row>
    <row r="15" spans="1:4" ht="14.25" customHeight="1">
      <c r="A15" t="s">
        <v>462</v>
      </c>
      <c r="B15" t="s">
        <v>463</v>
      </c>
      <c r="C15" t="s">
        <v>477</v>
      </c>
      <c r="D15">
        <v>4.3999999999999997E-2</v>
      </c>
    </row>
    <row r="16" spans="1:4" ht="14.25" customHeight="1">
      <c r="A16" t="s">
        <v>462</v>
      </c>
      <c r="B16" t="s">
        <v>463</v>
      </c>
      <c r="C16" t="s">
        <v>478</v>
      </c>
      <c r="D16">
        <v>4.3999999999999997E-2</v>
      </c>
    </row>
    <row r="17" spans="1:4" ht="14.25" customHeight="1">
      <c r="A17" t="s">
        <v>462</v>
      </c>
      <c r="B17" t="s">
        <v>463</v>
      </c>
      <c r="C17" t="s">
        <v>479</v>
      </c>
      <c r="D17">
        <v>4.3999999999999997E-2</v>
      </c>
    </row>
    <row r="18" spans="1:4" ht="14.25" customHeight="1">
      <c r="A18" t="s">
        <v>462</v>
      </c>
      <c r="B18" t="s">
        <v>463</v>
      </c>
      <c r="C18" t="s">
        <v>480</v>
      </c>
      <c r="D18">
        <v>4.3999999999999997E-2</v>
      </c>
    </row>
    <row r="19" spans="1:4" ht="14.25" customHeight="1">
      <c r="A19" t="s">
        <v>462</v>
      </c>
      <c r="B19" t="s">
        <v>463</v>
      </c>
      <c r="C19" t="s">
        <v>481</v>
      </c>
      <c r="D19">
        <v>4.3999999999999997E-2</v>
      </c>
    </row>
    <row r="20" spans="1:4" ht="14.25" customHeight="1">
      <c r="A20" t="s">
        <v>462</v>
      </c>
      <c r="B20" t="s">
        <v>463</v>
      </c>
      <c r="C20" t="s">
        <v>482</v>
      </c>
      <c r="D20">
        <v>4.3999999999999997E-2</v>
      </c>
    </row>
    <row r="21" spans="1:4" ht="14.25" customHeight="1">
      <c r="A21" t="s">
        <v>462</v>
      </c>
      <c r="B21" t="s">
        <v>9</v>
      </c>
      <c r="C21" t="s">
        <v>483</v>
      </c>
      <c r="D21">
        <v>4.3999999999999997E-2</v>
      </c>
    </row>
    <row r="22" spans="1:4" ht="14.25" customHeight="1">
      <c r="A22" t="s">
        <v>462</v>
      </c>
      <c r="B22" t="s">
        <v>9</v>
      </c>
      <c r="C22" t="s">
        <v>484</v>
      </c>
      <c r="D22">
        <v>4.3999999999999997E-2</v>
      </c>
    </row>
    <row r="23" spans="1:4" ht="14.25" customHeight="1">
      <c r="A23" t="s">
        <v>462</v>
      </c>
      <c r="B23" t="s">
        <v>9</v>
      </c>
      <c r="C23" t="s">
        <v>485</v>
      </c>
      <c r="D23">
        <v>4.3999999999999997E-2</v>
      </c>
    </row>
    <row r="24" spans="1:4" ht="14.25" customHeight="1">
      <c r="A24" t="s">
        <v>462</v>
      </c>
      <c r="B24" t="s">
        <v>9</v>
      </c>
      <c r="C24" t="s">
        <v>486</v>
      </c>
      <c r="D24">
        <v>4.3999999999999997E-2</v>
      </c>
    </row>
    <row r="25" spans="1:4" ht="14.25" customHeight="1">
      <c r="A25" t="s">
        <v>462</v>
      </c>
      <c r="B25" t="s">
        <v>9</v>
      </c>
      <c r="C25" t="s">
        <v>487</v>
      </c>
      <c r="D25">
        <v>4.3999999999999997E-2</v>
      </c>
    </row>
    <row r="26" spans="1:4" ht="14.25" customHeight="1">
      <c r="A26" t="s">
        <v>462</v>
      </c>
      <c r="B26" t="s">
        <v>9</v>
      </c>
      <c r="C26" t="s">
        <v>488</v>
      </c>
      <c r="D26">
        <v>4.3999999999999997E-2</v>
      </c>
    </row>
    <row r="27" spans="1:4" ht="14.25" customHeight="1">
      <c r="A27" t="s">
        <v>462</v>
      </c>
      <c r="B27" t="s">
        <v>9</v>
      </c>
      <c r="C27" t="s">
        <v>489</v>
      </c>
      <c r="D27">
        <v>4.3999999999999997E-2</v>
      </c>
    </row>
    <row r="28" spans="1:4" ht="14.25" customHeight="1">
      <c r="A28" t="s">
        <v>462</v>
      </c>
      <c r="B28" t="s">
        <v>10</v>
      </c>
      <c r="C28" t="s">
        <v>490</v>
      </c>
      <c r="D28">
        <v>4.3999999999999997E-2</v>
      </c>
    </row>
    <row r="29" spans="1:4" ht="14.25" customHeight="1">
      <c r="A29" t="s">
        <v>462</v>
      </c>
      <c r="B29" t="s">
        <v>10</v>
      </c>
      <c r="C29" t="s">
        <v>491</v>
      </c>
      <c r="D29">
        <v>4.3999999999999997E-2</v>
      </c>
    </row>
    <row r="30" spans="1:4" ht="14.25" customHeight="1">
      <c r="A30" t="s">
        <v>462</v>
      </c>
      <c r="B30" t="s">
        <v>10</v>
      </c>
      <c r="C30" t="s">
        <v>492</v>
      </c>
      <c r="D30">
        <v>4.3999999999999997E-2</v>
      </c>
    </row>
    <row r="31" spans="1:4" ht="14.25" customHeight="1">
      <c r="A31" t="s">
        <v>462</v>
      </c>
      <c r="B31" t="s">
        <v>10</v>
      </c>
      <c r="C31" t="s">
        <v>493</v>
      </c>
      <c r="D31">
        <v>4.3999999999999997E-2</v>
      </c>
    </row>
    <row r="32" spans="1:4" ht="14.25" customHeight="1">
      <c r="A32" t="s">
        <v>462</v>
      </c>
      <c r="B32" t="s">
        <v>10</v>
      </c>
      <c r="C32" t="s">
        <v>494</v>
      </c>
      <c r="D32">
        <v>4.3999999999999997E-2</v>
      </c>
    </row>
    <row r="33" spans="1:4" ht="14.25" customHeight="1">
      <c r="A33" t="s">
        <v>462</v>
      </c>
      <c r="B33" t="s">
        <v>10</v>
      </c>
      <c r="C33" t="s">
        <v>495</v>
      </c>
      <c r="D33">
        <v>4.3999999999999997E-2</v>
      </c>
    </row>
    <row r="34" spans="1:4" ht="14.25" customHeight="1">
      <c r="A34" t="s">
        <v>462</v>
      </c>
      <c r="B34" t="s">
        <v>10</v>
      </c>
      <c r="C34" t="s">
        <v>496</v>
      </c>
      <c r="D34">
        <v>4.3999999999999997E-2</v>
      </c>
    </row>
    <row r="35" spans="1:4" ht="14.25" customHeight="1">
      <c r="A35" t="s">
        <v>462</v>
      </c>
      <c r="B35" t="s">
        <v>11</v>
      </c>
      <c r="C35" t="s">
        <v>497</v>
      </c>
      <c r="D35">
        <v>4.3999999999999997E-2</v>
      </c>
    </row>
    <row r="36" spans="1:4" ht="14.25" customHeight="1">
      <c r="A36" t="s">
        <v>462</v>
      </c>
      <c r="B36" t="s">
        <v>11</v>
      </c>
      <c r="C36" t="s">
        <v>498</v>
      </c>
      <c r="D36">
        <v>4.3999999999999997E-2</v>
      </c>
    </row>
    <row r="37" spans="1:4" ht="14.25" customHeight="1">
      <c r="A37" t="s">
        <v>462</v>
      </c>
      <c r="B37" t="s">
        <v>11</v>
      </c>
      <c r="C37" t="s">
        <v>499</v>
      </c>
      <c r="D37">
        <v>4.3999999999999997E-2</v>
      </c>
    </row>
    <row r="38" spans="1:4" ht="14.25" customHeight="1">
      <c r="A38" t="s">
        <v>462</v>
      </c>
      <c r="B38" t="s">
        <v>11</v>
      </c>
      <c r="C38" t="s">
        <v>500</v>
      </c>
      <c r="D38">
        <v>4.3999999999999997E-2</v>
      </c>
    </row>
    <row r="39" spans="1:4" ht="14.25" customHeight="1">
      <c r="A39" t="s">
        <v>462</v>
      </c>
      <c r="B39" t="s">
        <v>11</v>
      </c>
      <c r="C39" t="s">
        <v>501</v>
      </c>
      <c r="D39">
        <v>4.3999999999999997E-2</v>
      </c>
    </row>
    <row r="40" spans="1:4" ht="14.25" customHeight="1">
      <c r="A40" t="s">
        <v>462</v>
      </c>
      <c r="B40" t="s">
        <v>11</v>
      </c>
      <c r="C40" t="s">
        <v>502</v>
      </c>
      <c r="D40">
        <v>4.3999999999999997E-2</v>
      </c>
    </row>
    <row r="41" spans="1:4" ht="14.25" customHeight="1">
      <c r="A41" t="s">
        <v>462</v>
      </c>
      <c r="B41" t="s">
        <v>11</v>
      </c>
      <c r="C41" t="s">
        <v>503</v>
      </c>
      <c r="D41">
        <v>4.3999999999999997E-2</v>
      </c>
    </row>
    <row r="42" spans="1:4" ht="14.25" customHeight="1">
      <c r="A42" t="s">
        <v>462</v>
      </c>
      <c r="B42" t="s">
        <v>11</v>
      </c>
      <c r="C42" t="s">
        <v>504</v>
      </c>
      <c r="D42">
        <v>4.3999999999999997E-2</v>
      </c>
    </row>
    <row r="43" spans="1:4" ht="14.25" customHeight="1">
      <c r="A43" t="s">
        <v>462</v>
      </c>
      <c r="B43" t="s">
        <v>11</v>
      </c>
      <c r="C43" t="s">
        <v>505</v>
      </c>
      <c r="D43">
        <v>4.3999999999999997E-2</v>
      </c>
    </row>
    <row r="44" spans="1:4" ht="14.25" customHeight="1">
      <c r="A44" t="s">
        <v>462</v>
      </c>
      <c r="B44" t="s">
        <v>11</v>
      </c>
      <c r="C44" t="s">
        <v>506</v>
      </c>
      <c r="D44">
        <v>4.3999999999999997E-2</v>
      </c>
    </row>
    <row r="45" spans="1:4" ht="14.25" customHeight="1">
      <c r="A45" t="s">
        <v>462</v>
      </c>
      <c r="B45" t="s">
        <v>11</v>
      </c>
      <c r="C45" t="s">
        <v>507</v>
      </c>
      <c r="D45">
        <v>4.3999999999999997E-2</v>
      </c>
    </row>
    <row r="46" spans="1:4" ht="14.25" customHeight="1">
      <c r="A46" t="s">
        <v>462</v>
      </c>
      <c r="B46" t="s">
        <v>11</v>
      </c>
      <c r="C46" t="s">
        <v>508</v>
      </c>
      <c r="D46">
        <v>4.3999999999999997E-2</v>
      </c>
    </row>
    <row r="47" spans="1:4" ht="14.25" customHeight="1">
      <c r="A47" t="s">
        <v>462</v>
      </c>
      <c r="B47" t="s">
        <v>11</v>
      </c>
      <c r="C47" t="s">
        <v>509</v>
      </c>
      <c r="D47">
        <v>4.3999999999999997E-2</v>
      </c>
    </row>
    <row r="48" spans="1:4" ht="14.25" customHeight="1">
      <c r="A48" t="s">
        <v>462</v>
      </c>
      <c r="B48" t="s">
        <v>11</v>
      </c>
      <c r="C48" t="s">
        <v>510</v>
      </c>
      <c r="D48">
        <v>4.3999999999999997E-2</v>
      </c>
    </row>
    <row r="49" spans="1:4" ht="14.25" customHeight="1">
      <c r="A49" t="s">
        <v>462</v>
      </c>
      <c r="B49" t="s">
        <v>11</v>
      </c>
      <c r="C49" t="s">
        <v>511</v>
      </c>
      <c r="D49">
        <v>4.3999999999999997E-2</v>
      </c>
    </row>
    <row r="50" spans="1:4" ht="14.25" customHeight="1">
      <c r="A50" t="s">
        <v>462</v>
      </c>
      <c r="B50" t="s">
        <v>11</v>
      </c>
      <c r="C50" t="s">
        <v>512</v>
      </c>
      <c r="D50">
        <v>4.3999999999999997E-2</v>
      </c>
    </row>
    <row r="51" spans="1:4" ht="14.25" customHeight="1">
      <c r="A51" t="s">
        <v>462</v>
      </c>
      <c r="B51" t="s">
        <v>11</v>
      </c>
      <c r="C51" t="s">
        <v>513</v>
      </c>
      <c r="D51">
        <v>4.3999999999999997E-2</v>
      </c>
    </row>
    <row r="52" spans="1:4" ht="14.25" customHeight="1">
      <c r="A52" t="s">
        <v>462</v>
      </c>
      <c r="B52" t="s">
        <v>11</v>
      </c>
      <c r="C52" t="s">
        <v>514</v>
      </c>
      <c r="D52">
        <v>4.3999999999999997E-2</v>
      </c>
    </row>
    <row r="53" spans="1:4" ht="14.25" customHeight="1">
      <c r="A53" t="s">
        <v>462</v>
      </c>
      <c r="B53" t="s">
        <v>11</v>
      </c>
      <c r="C53" t="s">
        <v>515</v>
      </c>
      <c r="D53">
        <v>4.3999999999999997E-2</v>
      </c>
    </row>
    <row r="54" spans="1:4" ht="14.25" customHeight="1">
      <c r="A54" t="s">
        <v>462</v>
      </c>
      <c r="B54" t="s">
        <v>11</v>
      </c>
      <c r="C54" t="s">
        <v>516</v>
      </c>
      <c r="D54">
        <v>4.3999999999999997E-2</v>
      </c>
    </row>
    <row r="55" spans="1:4" ht="14.25" customHeight="1">
      <c r="A55" t="s">
        <v>462</v>
      </c>
      <c r="B55" t="s">
        <v>11</v>
      </c>
      <c r="C55" t="s">
        <v>517</v>
      </c>
      <c r="D55">
        <v>4.3999999999999997E-2</v>
      </c>
    </row>
    <row r="56" spans="1:4" ht="14.25" customHeight="1">
      <c r="A56" t="s">
        <v>462</v>
      </c>
      <c r="B56" t="s">
        <v>11</v>
      </c>
      <c r="C56" t="s">
        <v>518</v>
      </c>
      <c r="D56">
        <v>4.3999999999999997E-2</v>
      </c>
    </row>
    <row r="57" spans="1:4" ht="14.25" customHeight="1">
      <c r="A57" t="s">
        <v>462</v>
      </c>
      <c r="B57" t="s">
        <v>11</v>
      </c>
      <c r="C57" t="s">
        <v>519</v>
      </c>
      <c r="D57">
        <v>4.3999999999999997E-2</v>
      </c>
    </row>
    <row r="58" spans="1:4" ht="14.25" customHeight="1">
      <c r="A58" t="s">
        <v>462</v>
      </c>
      <c r="B58" t="s">
        <v>11</v>
      </c>
      <c r="C58" t="s">
        <v>520</v>
      </c>
      <c r="D58">
        <v>4.3999999999999997E-2</v>
      </c>
    </row>
    <row r="59" spans="1:4" ht="14.25" customHeight="1">
      <c r="A59" t="s">
        <v>462</v>
      </c>
      <c r="B59" t="s">
        <v>12</v>
      </c>
      <c r="C59" t="s">
        <v>521</v>
      </c>
      <c r="D59">
        <v>4.3999999999999997E-2</v>
      </c>
    </row>
    <row r="60" spans="1:4" ht="14.25" customHeight="1">
      <c r="A60" t="s">
        <v>462</v>
      </c>
      <c r="B60" t="s">
        <v>12</v>
      </c>
      <c r="C60" t="s">
        <v>522</v>
      </c>
      <c r="D60">
        <v>4.3999999999999997E-2</v>
      </c>
    </row>
    <row r="61" spans="1:4" ht="14.25" customHeight="1">
      <c r="A61" t="s">
        <v>462</v>
      </c>
      <c r="B61" t="s">
        <v>12</v>
      </c>
      <c r="C61" t="s">
        <v>523</v>
      </c>
      <c r="D61">
        <v>4.3999999999999997E-2</v>
      </c>
    </row>
    <row r="62" spans="1:4" ht="14.25" customHeight="1">
      <c r="A62" t="s">
        <v>462</v>
      </c>
      <c r="B62" t="s">
        <v>12</v>
      </c>
      <c r="C62" t="s">
        <v>524</v>
      </c>
      <c r="D62">
        <v>4.3999999999999997E-2</v>
      </c>
    </row>
    <row r="63" spans="1:4" ht="14.25" customHeight="1">
      <c r="A63" t="s">
        <v>462</v>
      </c>
      <c r="B63" t="s">
        <v>12</v>
      </c>
      <c r="C63" t="s">
        <v>525</v>
      </c>
      <c r="D63">
        <v>4.3999999999999997E-2</v>
      </c>
    </row>
    <row r="64" spans="1:4" ht="14.25" customHeight="1">
      <c r="A64" t="s">
        <v>462</v>
      </c>
      <c r="B64" t="s">
        <v>12</v>
      </c>
      <c r="C64" t="s">
        <v>526</v>
      </c>
      <c r="D64">
        <v>4.3999999999999997E-2</v>
      </c>
    </row>
    <row r="65" spans="1:4" ht="14.25" customHeight="1">
      <c r="A65" t="s">
        <v>462</v>
      </c>
      <c r="B65" t="s">
        <v>12</v>
      </c>
      <c r="C65" t="s">
        <v>527</v>
      </c>
      <c r="D65">
        <v>4.3999999999999997E-2</v>
      </c>
    </row>
    <row r="66" spans="1:4" ht="14.25" customHeight="1">
      <c r="A66" t="s">
        <v>462</v>
      </c>
      <c r="B66" t="s">
        <v>12</v>
      </c>
      <c r="C66" t="s">
        <v>528</v>
      </c>
      <c r="D66">
        <v>4.3999999999999997E-2</v>
      </c>
    </row>
    <row r="67" spans="1:4" ht="14.25" customHeight="1">
      <c r="A67" t="s">
        <v>462</v>
      </c>
      <c r="B67" t="s">
        <v>12</v>
      </c>
      <c r="C67" t="s">
        <v>529</v>
      </c>
      <c r="D67">
        <v>4.3999999999999997E-2</v>
      </c>
    </row>
    <row r="68" spans="1:4" ht="14.25" customHeight="1">
      <c r="A68" t="s">
        <v>462</v>
      </c>
      <c r="B68" t="s">
        <v>12</v>
      </c>
      <c r="C68" t="s">
        <v>530</v>
      </c>
      <c r="D68">
        <v>4.3999999999999997E-2</v>
      </c>
    </row>
    <row r="69" spans="1:4" ht="14.25" customHeight="1">
      <c r="A69" t="s">
        <v>462</v>
      </c>
      <c r="B69" t="s">
        <v>12</v>
      </c>
      <c r="C69" t="s">
        <v>531</v>
      </c>
      <c r="D69">
        <v>4.3999999999999997E-2</v>
      </c>
    </row>
    <row r="70" spans="1:4" ht="14.25" customHeight="1">
      <c r="A70" t="s">
        <v>462</v>
      </c>
      <c r="B70" t="s">
        <v>12</v>
      </c>
      <c r="C70" t="s">
        <v>532</v>
      </c>
      <c r="D70">
        <v>4.3999999999999997E-2</v>
      </c>
    </row>
    <row r="71" spans="1:4" ht="14.25" customHeight="1">
      <c r="A71" t="s">
        <v>462</v>
      </c>
      <c r="B71" t="s">
        <v>12</v>
      </c>
      <c r="C71" t="s">
        <v>533</v>
      </c>
      <c r="D71">
        <v>4.3999999999999997E-2</v>
      </c>
    </row>
    <row r="72" spans="1:4" ht="14.25" customHeight="1">
      <c r="A72" t="s">
        <v>462</v>
      </c>
      <c r="B72" t="s">
        <v>12</v>
      </c>
      <c r="C72" t="s">
        <v>534</v>
      </c>
      <c r="D72">
        <v>4.3999999999999997E-2</v>
      </c>
    </row>
    <row r="73" spans="1:4" ht="14.25" customHeight="1">
      <c r="A73" t="s">
        <v>462</v>
      </c>
      <c r="B73" t="s">
        <v>12</v>
      </c>
      <c r="C73" t="s">
        <v>535</v>
      </c>
      <c r="D73">
        <v>4.3999999999999997E-2</v>
      </c>
    </row>
    <row r="74" spans="1:4" ht="14.25" customHeight="1">
      <c r="A74" t="s">
        <v>462</v>
      </c>
      <c r="B74" t="s">
        <v>12</v>
      </c>
      <c r="C74" t="s">
        <v>536</v>
      </c>
      <c r="D74">
        <v>4.3999999999999997E-2</v>
      </c>
    </row>
    <row r="75" spans="1:4" ht="14.25" customHeight="1">
      <c r="A75" t="s">
        <v>462</v>
      </c>
      <c r="B75" t="s">
        <v>12</v>
      </c>
      <c r="C75" t="s">
        <v>537</v>
      </c>
      <c r="D75">
        <v>4.3999999999999997E-2</v>
      </c>
    </row>
    <row r="76" spans="1:4" ht="14.25" customHeight="1">
      <c r="A76" t="s">
        <v>462</v>
      </c>
      <c r="B76" t="s">
        <v>12</v>
      </c>
      <c r="C76" t="s">
        <v>538</v>
      </c>
      <c r="D76">
        <v>4.3999999999999997E-2</v>
      </c>
    </row>
    <row r="77" spans="1:4" ht="14.25" customHeight="1">
      <c r="A77" t="s">
        <v>462</v>
      </c>
      <c r="B77" t="s">
        <v>12</v>
      </c>
      <c r="C77" t="s">
        <v>539</v>
      </c>
      <c r="D77">
        <v>4.3999999999999997E-2</v>
      </c>
    </row>
    <row r="78" spans="1:4" ht="14.25" customHeight="1">
      <c r="A78" t="s">
        <v>462</v>
      </c>
      <c r="B78" t="s">
        <v>12</v>
      </c>
      <c r="C78" t="s">
        <v>540</v>
      </c>
      <c r="D78">
        <v>4.3999999999999997E-2</v>
      </c>
    </row>
    <row r="79" spans="1:4" ht="14.25" customHeight="1">
      <c r="A79" t="s">
        <v>462</v>
      </c>
      <c r="B79" t="s">
        <v>12</v>
      </c>
      <c r="C79" t="s">
        <v>541</v>
      </c>
      <c r="D79">
        <v>4.3999999999999997E-2</v>
      </c>
    </row>
    <row r="80" spans="1:4" ht="14.25" customHeight="1">
      <c r="A80" t="s">
        <v>462</v>
      </c>
      <c r="B80" t="s">
        <v>12</v>
      </c>
      <c r="C80" t="s">
        <v>542</v>
      </c>
      <c r="D80">
        <v>4.3999999999999997E-2</v>
      </c>
    </row>
    <row r="81" spans="1:4" ht="14.25" customHeight="1">
      <c r="A81" t="s">
        <v>462</v>
      </c>
      <c r="B81" t="s">
        <v>12</v>
      </c>
      <c r="C81" t="s">
        <v>543</v>
      </c>
      <c r="D81">
        <v>4.3999999999999997E-2</v>
      </c>
    </row>
    <row r="82" spans="1:4" ht="14.25" customHeight="1">
      <c r="A82" t="s">
        <v>462</v>
      </c>
      <c r="B82" t="s">
        <v>12</v>
      </c>
      <c r="C82" t="s">
        <v>544</v>
      </c>
      <c r="D82">
        <v>4.3999999999999997E-2</v>
      </c>
    </row>
    <row r="83" spans="1:4" ht="14.25" customHeight="1">
      <c r="A83" t="s">
        <v>462</v>
      </c>
      <c r="B83" t="s">
        <v>12</v>
      </c>
      <c r="C83" t="s">
        <v>545</v>
      </c>
      <c r="D83">
        <v>4.3999999999999997E-2</v>
      </c>
    </row>
    <row r="84" spans="1:4" ht="14.25" customHeight="1">
      <c r="A84" t="s">
        <v>462</v>
      </c>
      <c r="B84" t="s">
        <v>12</v>
      </c>
      <c r="C84" t="s">
        <v>546</v>
      </c>
      <c r="D84">
        <v>4.3999999999999997E-2</v>
      </c>
    </row>
    <row r="85" spans="1:4" ht="14.25" customHeight="1">
      <c r="A85" t="s">
        <v>462</v>
      </c>
      <c r="B85" t="s">
        <v>12</v>
      </c>
      <c r="C85" t="s">
        <v>547</v>
      </c>
      <c r="D85">
        <v>4.3999999999999997E-2</v>
      </c>
    </row>
    <row r="86" spans="1:4" ht="14.25" customHeight="1">
      <c r="A86" t="s">
        <v>462</v>
      </c>
      <c r="B86" t="s">
        <v>12</v>
      </c>
      <c r="C86" t="s">
        <v>548</v>
      </c>
      <c r="D86">
        <v>4.3999999999999997E-2</v>
      </c>
    </row>
    <row r="87" spans="1:4" ht="14.25" customHeight="1">
      <c r="A87" t="s">
        <v>462</v>
      </c>
      <c r="B87" t="s">
        <v>13</v>
      </c>
      <c r="C87" t="s">
        <v>549</v>
      </c>
      <c r="D87">
        <v>4.3999999999999997E-2</v>
      </c>
    </row>
    <row r="88" spans="1:4" ht="14.25" customHeight="1">
      <c r="A88" t="s">
        <v>462</v>
      </c>
      <c r="B88" t="s">
        <v>13</v>
      </c>
      <c r="C88" t="s">
        <v>550</v>
      </c>
      <c r="D88">
        <v>4.3999999999999997E-2</v>
      </c>
    </row>
    <row r="89" spans="1:4" ht="14.25" customHeight="1">
      <c r="A89" t="s">
        <v>462</v>
      </c>
      <c r="B89" t="s">
        <v>13</v>
      </c>
      <c r="C89" t="s">
        <v>551</v>
      </c>
      <c r="D89">
        <v>4.3999999999999997E-2</v>
      </c>
    </row>
    <row r="90" spans="1:4" ht="14.25" customHeight="1">
      <c r="A90" t="s">
        <v>462</v>
      </c>
      <c r="B90" t="s">
        <v>13</v>
      </c>
      <c r="C90" t="s">
        <v>552</v>
      </c>
      <c r="D90">
        <v>4.3999999999999997E-2</v>
      </c>
    </row>
    <row r="91" spans="1:4" ht="14.25" customHeight="1">
      <c r="A91" t="s">
        <v>462</v>
      </c>
      <c r="B91" t="s">
        <v>13</v>
      </c>
      <c r="C91" t="s">
        <v>553</v>
      </c>
      <c r="D91">
        <v>4.3999999999999997E-2</v>
      </c>
    </row>
    <row r="92" spans="1:4" ht="14.25" customHeight="1">
      <c r="A92" t="s">
        <v>462</v>
      </c>
      <c r="B92" t="s">
        <v>13</v>
      </c>
      <c r="C92" t="s">
        <v>554</v>
      </c>
      <c r="D92">
        <v>4.3999999999999997E-2</v>
      </c>
    </row>
    <row r="93" spans="1:4" ht="14.25" customHeight="1">
      <c r="A93" t="s">
        <v>462</v>
      </c>
      <c r="B93" t="s">
        <v>13</v>
      </c>
      <c r="C93" t="s">
        <v>555</v>
      </c>
      <c r="D93">
        <v>4.3999999999999997E-2</v>
      </c>
    </row>
    <row r="94" spans="1:4" ht="14.25" customHeight="1">
      <c r="A94" t="s">
        <v>462</v>
      </c>
      <c r="B94" t="s">
        <v>13</v>
      </c>
      <c r="C94" t="s">
        <v>556</v>
      </c>
      <c r="D94">
        <v>4.3999999999999997E-2</v>
      </c>
    </row>
    <row r="95" spans="1:4" ht="14.25" customHeight="1">
      <c r="A95" t="s">
        <v>462</v>
      </c>
      <c r="B95" t="s">
        <v>13</v>
      </c>
      <c r="C95" t="s">
        <v>557</v>
      </c>
      <c r="D95">
        <v>4.3999999999999997E-2</v>
      </c>
    </row>
    <row r="96" spans="1:4" ht="14.25" customHeight="1">
      <c r="A96" t="s">
        <v>462</v>
      </c>
      <c r="B96" t="s">
        <v>13</v>
      </c>
      <c r="C96" t="s">
        <v>558</v>
      </c>
      <c r="D96">
        <v>4.3999999999999997E-2</v>
      </c>
    </row>
    <row r="97" spans="1:4" ht="14.25" customHeight="1">
      <c r="A97" t="s">
        <v>462</v>
      </c>
      <c r="B97" t="s">
        <v>13</v>
      </c>
      <c r="C97" t="s">
        <v>559</v>
      </c>
      <c r="D97">
        <v>4.3999999999999997E-2</v>
      </c>
    </row>
    <row r="98" spans="1:4" ht="14.25" customHeight="1">
      <c r="A98" t="s">
        <v>462</v>
      </c>
      <c r="B98" t="s">
        <v>13</v>
      </c>
      <c r="C98" t="s">
        <v>560</v>
      </c>
      <c r="D98">
        <v>4.3999999999999997E-2</v>
      </c>
    </row>
    <row r="99" spans="1:4" ht="14.25" customHeight="1">
      <c r="A99" t="s">
        <v>462</v>
      </c>
      <c r="B99" t="s">
        <v>13</v>
      </c>
      <c r="C99" t="s">
        <v>561</v>
      </c>
      <c r="D99">
        <v>4.3999999999999997E-2</v>
      </c>
    </row>
    <row r="100" spans="1:4" ht="14.25" customHeight="1">
      <c r="A100" t="s">
        <v>462</v>
      </c>
      <c r="B100" t="s">
        <v>13</v>
      </c>
      <c r="C100" t="s">
        <v>562</v>
      </c>
      <c r="D100">
        <v>4.3999999999999997E-2</v>
      </c>
    </row>
    <row r="101" spans="1:4" ht="14.25" customHeight="1">
      <c r="A101" t="s">
        <v>462</v>
      </c>
      <c r="B101" t="s">
        <v>13</v>
      </c>
      <c r="C101" t="s">
        <v>563</v>
      </c>
      <c r="D101">
        <v>4.3999999999999997E-2</v>
      </c>
    </row>
    <row r="102" spans="1:4" ht="14.25" customHeight="1">
      <c r="A102" t="s">
        <v>462</v>
      </c>
      <c r="B102" t="s">
        <v>13</v>
      </c>
      <c r="C102" t="s">
        <v>564</v>
      </c>
      <c r="D102">
        <v>4.3999999999999997E-2</v>
      </c>
    </row>
    <row r="103" spans="1:4" ht="14.25" customHeight="1">
      <c r="A103" t="s">
        <v>462</v>
      </c>
      <c r="B103" t="s">
        <v>13</v>
      </c>
      <c r="C103" t="s">
        <v>565</v>
      </c>
      <c r="D103">
        <v>4.3999999999999997E-2</v>
      </c>
    </row>
    <row r="104" spans="1:4" ht="14.25" customHeight="1">
      <c r="A104" t="s">
        <v>462</v>
      </c>
      <c r="B104" t="s">
        <v>13</v>
      </c>
      <c r="C104" t="s">
        <v>566</v>
      </c>
      <c r="D104">
        <v>4.3999999999999997E-2</v>
      </c>
    </row>
    <row r="105" spans="1:4" ht="14.25" customHeight="1">
      <c r="A105" t="s">
        <v>462</v>
      </c>
      <c r="B105" t="s">
        <v>13</v>
      </c>
      <c r="C105" t="s">
        <v>567</v>
      </c>
      <c r="D105">
        <v>4.3999999999999997E-2</v>
      </c>
    </row>
    <row r="106" spans="1:4" ht="14.25" customHeight="1">
      <c r="A106" t="s">
        <v>462</v>
      </c>
      <c r="B106" t="s">
        <v>13</v>
      </c>
      <c r="C106" t="s">
        <v>568</v>
      </c>
      <c r="D106">
        <v>4.3999999999999997E-2</v>
      </c>
    </row>
    <row r="107" spans="1:4" ht="14.25" customHeight="1">
      <c r="A107" t="s">
        <v>462</v>
      </c>
      <c r="B107" t="s">
        <v>13</v>
      </c>
      <c r="C107" t="s">
        <v>569</v>
      </c>
      <c r="D107">
        <v>4.3999999999999997E-2</v>
      </c>
    </row>
    <row r="108" spans="1:4" ht="14.25" customHeight="1">
      <c r="A108" t="s">
        <v>462</v>
      </c>
      <c r="B108" t="s">
        <v>13</v>
      </c>
      <c r="C108" t="s">
        <v>570</v>
      </c>
      <c r="D108">
        <v>4.3999999999999997E-2</v>
      </c>
    </row>
    <row r="109" spans="1:4" ht="14.25" customHeight="1">
      <c r="A109" t="s">
        <v>462</v>
      </c>
      <c r="B109" t="s">
        <v>13</v>
      </c>
      <c r="C109" t="s">
        <v>571</v>
      </c>
      <c r="D109">
        <v>4.3999999999999997E-2</v>
      </c>
    </row>
    <row r="110" spans="1:4" ht="14.25" customHeight="1">
      <c r="A110" t="s">
        <v>462</v>
      </c>
      <c r="B110" t="s">
        <v>13</v>
      </c>
      <c r="C110" t="s">
        <v>572</v>
      </c>
      <c r="D110">
        <v>4.3999999999999997E-2</v>
      </c>
    </row>
    <row r="111" spans="1:4" ht="14.25" customHeight="1">
      <c r="A111" t="s">
        <v>462</v>
      </c>
      <c r="B111" t="s">
        <v>13</v>
      </c>
      <c r="C111" t="s">
        <v>573</v>
      </c>
      <c r="D111">
        <v>4.3999999999999997E-2</v>
      </c>
    </row>
    <row r="112" spans="1:4" ht="14.25" customHeight="1">
      <c r="A112" t="s">
        <v>462</v>
      </c>
      <c r="B112" t="s">
        <v>13</v>
      </c>
      <c r="C112" t="s">
        <v>574</v>
      </c>
      <c r="D112">
        <v>4.3999999999999997E-2</v>
      </c>
    </row>
    <row r="113" spans="1:4" ht="14.25" customHeight="1">
      <c r="A113" t="s">
        <v>462</v>
      </c>
      <c r="B113" t="s">
        <v>13</v>
      </c>
      <c r="C113" t="s">
        <v>575</v>
      </c>
      <c r="D113">
        <v>4.3999999999999997E-2</v>
      </c>
    </row>
    <row r="114" spans="1:4" ht="14.25" customHeight="1">
      <c r="A114" t="s">
        <v>462</v>
      </c>
      <c r="B114" t="s">
        <v>13</v>
      </c>
      <c r="C114" t="s">
        <v>576</v>
      </c>
      <c r="D114">
        <v>4.3999999999999997E-2</v>
      </c>
    </row>
    <row r="115" spans="1:4" ht="14.25" customHeight="1">
      <c r="A115" t="s">
        <v>462</v>
      </c>
      <c r="B115" t="s">
        <v>13</v>
      </c>
      <c r="C115" t="s">
        <v>577</v>
      </c>
      <c r="D115">
        <v>4.3999999999999997E-2</v>
      </c>
    </row>
    <row r="116" spans="1:4" ht="14.25" customHeight="1">
      <c r="A116" t="s">
        <v>462</v>
      </c>
      <c r="B116" t="s">
        <v>13</v>
      </c>
      <c r="C116" t="s">
        <v>578</v>
      </c>
      <c r="D116">
        <v>4.3999999999999997E-2</v>
      </c>
    </row>
    <row r="117" spans="1:4" ht="14.25" customHeight="1">
      <c r="A117" t="s">
        <v>462</v>
      </c>
      <c r="B117" t="s">
        <v>13</v>
      </c>
      <c r="C117" t="s">
        <v>579</v>
      </c>
      <c r="D117">
        <v>4.3999999999999997E-2</v>
      </c>
    </row>
    <row r="118" spans="1:4" ht="14.25" customHeight="1">
      <c r="A118" t="s">
        <v>462</v>
      </c>
      <c r="B118" t="s">
        <v>13</v>
      </c>
      <c r="C118" t="s">
        <v>580</v>
      </c>
      <c r="D118">
        <v>4.3999999999999997E-2</v>
      </c>
    </row>
    <row r="119" spans="1:4" ht="14.25" customHeight="1">
      <c r="A119" t="s">
        <v>462</v>
      </c>
      <c r="B119" t="s">
        <v>13</v>
      </c>
      <c r="C119" t="s">
        <v>581</v>
      </c>
      <c r="D119">
        <v>4.3999999999999997E-2</v>
      </c>
    </row>
    <row r="120" spans="1:4" ht="14.25" customHeight="1">
      <c r="A120" t="s">
        <v>462</v>
      </c>
      <c r="B120" t="s">
        <v>13</v>
      </c>
      <c r="C120" t="s">
        <v>582</v>
      </c>
      <c r="D120">
        <v>4.3999999999999997E-2</v>
      </c>
    </row>
    <row r="121" spans="1:4" ht="14.25" customHeight="1">
      <c r="A121" t="s">
        <v>462</v>
      </c>
      <c r="B121" t="s">
        <v>13</v>
      </c>
      <c r="C121" t="s">
        <v>583</v>
      </c>
      <c r="D121">
        <v>4.3999999999999997E-2</v>
      </c>
    </row>
    <row r="122" spans="1:4" ht="14.25" customHeight="1">
      <c r="A122" t="s">
        <v>462</v>
      </c>
      <c r="B122" t="s">
        <v>13</v>
      </c>
      <c r="C122" t="s">
        <v>584</v>
      </c>
      <c r="D122">
        <v>4.3999999999999997E-2</v>
      </c>
    </row>
    <row r="123" spans="1:4" ht="14.25" customHeight="1">
      <c r="A123" t="s">
        <v>462</v>
      </c>
      <c r="B123" t="s">
        <v>13</v>
      </c>
      <c r="C123" t="s">
        <v>585</v>
      </c>
      <c r="D123">
        <v>4.3999999999999997E-2</v>
      </c>
    </row>
    <row r="124" spans="1:4" ht="14.25" customHeight="1">
      <c r="A124" t="s">
        <v>462</v>
      </c>
      <c r="B124" t="s">
        <v>13</v>
      </c>
      <c r="C124" t="s">
        <v>586</v>
      </c>
      <c r="D124">
        <v>4.3999999999999997E-2</v>
      </c>
    </row>
    <row r="125" spans="1:4" ht="14.25" customHeight="1">
      <c r="A125" t="s">
        <v>462</v>
      </c>
      <c r="B125" t="s">
        <v>13</v>
      </c>
      <c r="C125" t="s">
        <v>587</v>
      </c>
      <c r="D125">
        <v>4.3999999999999997E-2</v>
      </c>
    </row>
    <row r="126" spans="1:4" ht="14.25" customHeight="1">
      <c r="A126" t="s">
        <v>462</v>
      </c>
      <c r="B126" t="s">
        <v>13</v>
      </c>
      <c r="C126" t="s">
        <v>588</v>
      </c>
      <c r="D126">
        <v>4.3999999999999997E-2</v>
      </c>
    </row>
    <row r="127" spans="1:4" ht="14.25" customHeight="1">
      <c r="A127" t="s">
        <v>462</v>
      </c>
      <c r="B127" t="s">
        <v>13</v>
      </c>
      <c r="C127" t="s">
        <v>589</v>
      </c>
      <c r="D127">
        <v>4.3999999999999997E-2</v>
      </c>
    </row>
    <row r="128" spans="1:4" ht="14.25" customHeight="1">
      <c r="A128" t="s">
        <v>462</v>
      </c>
      <c r="B128" t="s">
        <v>13</v>
      </c>
      <c r="C128" t="s">
        <v>590</v>
      </c>
      <c r="D128">
        <v>4.3999999999999997E-2</v>
      </c>
    </row>
    <row r="129" spans="1:4" ht="14.25" customHeight="1">
      <c r="A129" t="s">
        <v>462</v>
      </c>
      <c r="B129" t="s">
        <v>13</v>
      </c>
      <c r="C129" t="s">
        <v>591</v>
      </c>
      <c r="D129">
        <v>4.3999999999999997E-2</v>
      </c>
    </row>
    <row r="130" spans="1:4" ht="14.25" customHeight="1">
      <c r="A130" t="s">
        <v>462</v>
      </c>
      <c r="B130" t="s">
        <v>13</v>
      </c>
      <c r="C130" t="s">
        <v>592</v>
      </c>
      <c r="D130">
        <v>4.3999999999999997E-2</v>
      </c>
    </row>
    <row r="131" spans="1:4" ht="14.25" customHeight="1">
      <c r="A131" t="s">
        <v>462</v>
      </c>
      <c r="B131" t="s">
        <v>13</v>
      </c>
      <c r="C131" t="s">
        <v>593</v>
      </c>
      <c r="D131">
        <v>4.3999999999999997E-2</v>
      </c>
    </row>
    <row r="132" spans="1:4" ht="14.25" customHeight="1">
      <c r="A132" t="s">
        <v>462</v>
      </c>
      <c r="B132" t="s">
        <v>13</v>
      </c>
      <c r="C132" t="s">
        <v>594</v>
      </c>
      <c r="D132">
        <v>4.3999999999999997E-2</v>
      </c>
    </row>
    <row r="133" spans="1:4" ht="14.25" customHeight="1">
      <c r="A133" t="s">
        <v>462</v>
      </c>
      <c r="B133" t="s">
        <v>13</v>
      </c>
      <c r="C133" t="s">
        <v>595</v>
      </c>
      <c r="D133">
        <v>4.3999999999999997E-2</v>
      </c>
    </row>
    <row r="134" spans="1:4" ht="14.25" customHeight="1">
      <c r="A134" t="s">
        <v>462</v>
      </c>
      <c r="B134" t="s">
        <v>13</v>
      </c>
      <c r="C134" t="s">
        <v>596</v>
      </c>
      <c r="D134">
        <v>4.3999999999999997E-2</v>
      </c>
    </row>
    <row r="135" spans="1:4" ht="14.25" customHeight="1">
      <c r="A135" t="s">
        <v>462</v>
      </c>
      <c r="B135" t="s">
        <v>13</v>
      </c>
      <c r="C135" t="s">
        <v>597</v>
      </c>
      <c r="D135">
        <v>4.3999999999999997E-2</v>
      </c>
    </row>
    <row r="136" spans="1:4" ht="14.25" customHeight="1">
      <c r="A136" t="s">
        <v>462</v>
      </c>
      <c r="B136" t="s">
        <v>13</v>
      </c>
      <c r="C136" t="s">
        <v>598</v>
      </c>
      <c r="D136">
        <v>4.3999999999999997E-2</v>
      </c>
    </row>
    <row r="137" spans="1:4" ht="14.25" customHeight="1">
      <c r="A137" t="s">
        <v>462</v>
      </c>
      <c r="B137" t="s">
        <v>13</v>
      </c>
      <c r="C137" t="s">
        <v>599</v>
      </c>
      <c r="D137">
        <v>4.3999999999999997E-2</v>
      </c>
    </row>
    <row r="138" spans="1:4" ht="14.25" customHeight="1">
      <c r="A138" t="s">
        <v>462</v>
      </c>
      <c r="B138" t="s">
        <v>13</v>
      </c>
      <c r="C138" t="s">
        <v>600</v>
      </c>
      <c r="D138">
        <v>4.3999999999999997E-2</v>
      </c>
    </row>
    <row r="139" spans="1:4" ht="14.25" customHeight="1">
      <c r="A139" t="s">
        <v>462</v>
      </c>
      <c r="B139" t="s">
        <v>13</v>
      </c>
      <c r="C139" t="s">
        <v>601</v>
      </c>
      <c r="D139">
        <v>4.3999999999999997E-2</v>
      </c>
    </row>
    <row r="140" spans="1:4" ht="14.25" customHeight="1">
      <c r="A140" t="s">
        <v>462</v>
      </c>
      <c r="B140" t="s">
        <v>13</v>
      </c>
      <c r="C140" t="s">
        <v>602</v>
      </c>
      <c r="D140">
        <v>4.3999999999999997E-2</v>
      </c>
    </row>
    <row r="141" spans="1:4" ht="14.25" customHeight="1">
      <c r="A141" t="s">
        <v>462</v>
      </c>
      <c r="B141" t="s">
        <v>13</v>
      </c>
      <c r="C141" t="s">
        <v>603</v>
      </c>
      <c r="D141">
        <v>4.3999999999999997E-2</v>
      </c>
    </row>
    <row r="142" spans="1:4" ht="14.25" customHeight="1">
      <c r="A142" t="s">
        <v>462</v>
      </c>
      <c r="B142" t="s">
        <v>13</v>
      </c>
      <c r="C142" t="s">
        <v>604</v>
      </c>
      <c r="D142">
        <v>4.3999999999999997E-2</v>
      </c>
    </row>
    <row r="143" spans="1:4" ht="14.25" customHeight="1">
      <c r="A143" t="s">
        <v>462</v>
      </c>
      <c r="B143" t="s">
        <v>13</v>
      </c>
      <c r="C143" t="s">
        <v>605</v>
      </c>
      <c r="D143">
        <v>4.3999999999999997E-2</v>
      </c>
    </row>
    <row r="144" spans="1:4" ht="14.25" customHeight="1">
      <c r="A144" t="s">
        <v>462</v>
      </c>
      <c r="B144" t="s">
        <v>13</v>
      </c>
      <c r="C144" t="s">
        <v>606</v>
      </c>
      <c r="D144">
        <v>4.3999999999999997E-2</v>
      </c>
    </row>
    <row r="145" spans="1:4" ht="14.25" customHeight="1">
      <c r="A145" t="s">
        <v>462</v>
      </c>
      <c r="B145" t="s">
        <v>13</v>
      </c>
      <c r="C145" t="s">
        <v>607</v>
      </c>
      <c r="D145">
        <v>4.3999999999999997E-2</v>
      </c>
    </row>
    <row r="146" spans="1:4" ht="14.25" customHeight="1">
      <c r="A146" t="s">
        <v>462</v>
      </c>
      <c r="B146" t="s">
        <v>13</v>
      </c>
      <c r="C146" t="s">
        <v>608</v>
      </c>
      <c r="D146">
        <v>4.3999999999999997E-2</v>
      </c>
    </row>
    <row r="147" spans="1:4" ht="14.25" customHeight="1">
      <c r="A147" t="s">
        <v>462</v>
      </c>
      <c r="B147" t="s">
        <v>13</v>
      </c>
      <c r="C147" t="s">
        <v>609</v>
      </c>
      <c r="D147">
        <v>4.3999999999999997E-2</v>
      </c>
    </row>
    <row r="148" spans="1:4" ht="14.25" customHeight="1">
      <c r="A148" t="s">
        <v>462</v>
      </c>
      <c r="B148" t="s">
        <v>13</v>
      </c>
      <c r="C148" t="s">
        <v>610</v>
      </c>
      <c r="D148">
        <v>4.3999999999999997E-2</v>
      </c>
    </row>
    <row r="149" spans="1:4" ht="14.25" customHeight="1">
      <c r="A149" t="s">
        <v>462</v>
      </c>
      <c r="B149" t="s">
        <v>13</v>
      </c>
      <c r="C149" t="s">
        <v>611</v>
      </c>
      <c r="D149">
        <v>4.3999999999999997E-2</v>
      </c>
    </row>
    <row r="150" spans="1:4" ht="14.25" customHeight="1">
      <c r="A150" t="s">
        <v>462</v>
      </c>
      <c r="B150" t="s">
        <v>13</v>
      </c>
      <c r="C150" t="s">
        <v>612</v>
      </c>
      <c r="D150">
        <v>4.3999999999999997E-2</v>
      </c>
    </row>
    <row r="151" spans="1:4" ht="14.25" customHeight="1">
      <c r="A151" t="s">
        <v>462</v>
      </c>
      <c r="B151" t="s">
        <v>13</v>
      </c>
      <c r="C151" t="s">
        <v>613</v>
      </c>
      <c r="D151">
        <v>4.3999999999999997E-2</v>
      </c>
    </row>
    <row r="152" spans="1:4" ht="14.25" customHeight="1">
      <c r="A152" t="s">
        <v>462</v>
      </c>
      <c r="B152" t="s">
        <v>13</v>
      </c>
      <c r="C152" t="s">
        <v>614</v>
      </c>
      <c r="D152">
        <v>4.3999999999999997E-2</v>
      </c>
    </row>
    <row r="153" spans="1:4" ht="14.25" customHeight="1">
      <c r="A153" t="s">
        <v>462</v>
      </c>
      <c r="B153" t="s">
        <v>13</v>
      </c>
      <c r="C153" t="s">
        <v>615</v>
      </c>
      <c r="D153">
        <v>4.3999999999999997E-2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8"/>
  <sheetViews>
    <sheetView zoomScaleNormal="100" workbookViewId="0"/>
  </sheetViews>
  <sheetFormatPr defaultColWidth="8.6640625" defaultRowHeight="14.25"/>
  <sheetData>
    <row r="1" spans="1:5" ht="14.25" customHeight="1">
      <c r="A1" s="1" t="s">
        <v>616</v>
      </c>
      <c r="B1" s="1" t="s">
        <v>617</v>
      </c>
      <c r="C1" s="1" t="s">
        <v>618</v>
      </c>
      <c r="D1" s="1" t="s">
        <v>619</v>
      </c>
      <c r="E1" s="1" t="s">
        <v>620</v>
      </c>
    </row>
    <row r="2" spans="1:5" ht="14.25" customHeight="1">
      <c r="A2" t="s">
        <v>621</v>
      </c>
      <c r="B2" t="s">
        <v>5</v>
      </c>
      <c r="C2">
        <v>0.6</v>
      </c>
      <c r="D2">
        <v>0.6</v>
      </c>
      <c r="E2" t="s">
        <v>622</v>
      </c>
    </row>
    <row r="3" spans="1:5" ht="14.25" customHeight="1">
      <c r="A3" t="s">
        <v>623</v>
      </c>
      <c r="B3" t="s">
        <v>3</v>
      </c>
      <c r="C3">
        <v>1.7000000000000001E-2</v>
      </c>
      <c r="D3">
        <v>1.7000000000000001E-2</v>
      </c>
      <c r="E3" t="s">
        <v>622</v>
      </c>
    </row>
    <row r="4" spans="1:5" ht="14.25" customHeight="1">
      <c r="A4" t="s">
        <v>624</v>
      </c>
      <c r="B4" t="s">
        <v>625</v>
      </c>
      <c r="C4" t="s">
        <v>626</v>
      </c>
      <c r="D4" t="s">
        <v>626</v>
      </c>
      <c r="E4" t="s">
        <v>622</v>
      </c>
    </row>
    <row r="5" spans="1:5" ht="14.25" customHeight="1">
      <c r="A5" t="s">
        <v>627</v>
      </c>
      <c r="B5" t="s">
        <v>628</v>
      </c>
      <c r="C5">
        <v>0.22</v>
      </c>
      <c r="D5">
        <v>0.22</v>
      </c>
      <c r="E5" t="s">
        <v>622</v>
      </c>
    </row>
    <row r="6" spans="1:5" ht="14.25" customHeight="1">
      <c r="A6" t="s">
        <v>629</v>
      </c>
      <c r="B6" t="s">
        <v>8</v>
      </c>
      <c r="C6">
        <v>6.8000000000000005E-2</v>
      </c>
      <c r="D6">
        <v>6.8000000000000005E-2</v>
      </c>
      <c r="E6" t="s">
        <v>622</v>
      </c>
    </row>
    <row r="7" spans="1:5" ht="14.25" customHeight="1">
      <c r="A7" t="s">
        <v>630</v>
      </c>
      <c r="B7" t="s">
        <v>631</v>
      </c>
      <c r="C7">
        <v>0</v>
      </c>
      <c r="D7">
        <v>0</v>
      </c>
      <c r="E7" t="s">
        <v>622</v>
      </c>
    </row>
    <row r="8" spans="1:5" ht="14.25" customHeight="1">
      <c r="A8" t="s">
        <v>632</v>
      </c>
      <c r="B8" t="s">
        <v>633</v>
      </c>
      <c r="C8">
        <v>76655462.6603975</v>
      </c>
      <c r="D8">
        <f>D18+D43+D44+D87+D88</f>
        <v>0</v>
      </c>
      <c r="E8" t="s">
        <v>622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Sheet</vt:lpstr>
      <vt:lpstr>Cannon Ind.</vt:lpstr>
      <vt:lpstr>TI Build Guide</vt:lpstr>
      <vt:lpstr>_AX_backup</vt:lpstr>
      <vt:lpstr>_scenario_backup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Viktor Lundin</dc:creator>
  <dc:description/>
  <cp:lastModifiedBy>Viktor Lundin</cp:lastModifiedBy>
  <cp:revision>1</cp:revision>
  <dcterms:created xsi:type="dcterms:W3CDTF">2026-06-01T21:28:02Z</dcterms:created>
  <dcterms:modified xsi:type="dcterms:W3CDTF">2026-06-10T09:52:49Z</dcterms:modified>
  <dc:language>en-US</dc:language>
</cp:coreProperties>
</file>